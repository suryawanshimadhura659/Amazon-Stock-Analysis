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9BB21A73-20EE-4EE6-8E5D-17BC0A6D10AE}" xr6:coauthVersionLast="47" xr6:coauthVersionMax="47" xr10:uidLastSave="{00000000-0000-0000-0000-000000000000}"/>
  <bookViews>
    <workbookView xWindow="-108" yWindow="-108" windowWidth="23256" windowHeight="12456" activeTab="1" xr2:uid="{A6A5677F-381C-4ECB-8057-2F790EB0A8C2}"/>
  </bookViews>
  <sheets>
    <sheet name="Pivot Table" sheetId="7" r:id="rId1"/>
    <sheet name="Dashboard" sheetId="10" r:id="rId2"/>
    <sheet name="Dataset" sheetId="1" r:id="rId3"/>
  </sheets>
  <definedNames>
    <definedName name="Slicer_Da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3" i="1"/>
</calcChain>
</file>

<file path=xl/sharedStrings.xml><?xml version="1.0" encoding="utf-8"?>
<sst xmlns="http://schemas.openxmlformats.org/spreadsheetml/2006/main" count="69" uniqueCount="36">
  <si>
    <t>Date</t>
  </si>
  <si>
    <t>Open</t>
  </si>
  <si>
    <t>High</t>
  </si>
  <si>
    <t>Low</t>
  </si>
  <si>
    <t>Close</t>
  </si>
  <si>
    <t>Adj_Close</t>
  </si>
  <si>
    <t>Volume</t>
  </si>
  <si>
    <t>Day</t>
  </si>
  <si>
    <t>Month</t>
  </si>
  <si>
    <t>Year</t>
  </si>
  <si>
    <t>Row Labels</t>
  </si>
  <si>
    <t>January</t>
  </si>
  <si>
    <t>February</t>
  </si>
  <si>
    <t>March</t>
  </si>
  <si>
    <t>April</t>
  </si>
  <si>
    <t>May</t>
  </si>
  <si>
    <t>June</t>
  </si>
  <si>
    <t>July</t>
  </si>
  <si>
    <t>August</t>
  </si>
  <si>
    <t>September</t>
  </si>
  <si>
    <t>October</t>
  </si>
  <si>
    <t>November</t>
  </si>
  <si>
    <t>December</t>
  </si>
  <si>
    <t>Average of Adj_Close</t>
  </si>
  <si>
    <t>Friday</t>
  </si>
  <si>
    <t>2013</t>
  </si>
  <si>
    <t>Thursday</t>
  </si>
  <si>
    <t>Wednesday</t>
  </si>
  <si>
    <t>Tuesday</t>
  </si>
  <si>
    <t>Monday</t>
  </si>
  <si>
    <t>Average of Volume</t>
  </si>
  <si>
    <t>Sum of Open</t>
  </si>
  <si>
    <t>Sum of High</t>
  </si>
  <si>
    <t>Sum of Low</t>
  </si>
  <si>
    <t>Sum of Close</t>
  </si>
  <si>
    <t>Amazon Stock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</si>
</sst>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36"/>
      <color theme="5"/>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59999389629810485"/>
        <bgColor theme="5" tint="0.79998168889431442"/>
      </patternFill>
    </fill>
  </fills>
  <borders count="8">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4">
    <xf numFmtId="0" fontId="0" fillId="0" borderId="0" xfId="0"/>
    <xf numFmtId="14" fontId="0" fillId="2" borderId="1" xfId="0" applyNumberFormat="1" applyFill="1" applyBorder="1"/>
    <xf numFmtId="0" fontId="0" fillId="2" borderId="2" xfId="0" applyFill="1" applyBorder="1"/>
    <xf numFmtId="0" fontId="0" fillId="2" borderId="3" xfId="0" applyFill="1" applyBorder="1"/>
    <xf numFmtId="14" fontId="0" fillId="3" borderId="1" xfId="0" applyNumberFormat="1" applyFill="1" applyBorder="1"/>
    <xf numFmtId="0" fontId="0" fillId="3" borderId="2" xfId="0" applyFill="1" applyBorder="1"/>
    <xf numFmtId="14" fontId="0" fillId="2" borderId="5" xfId="0" applyNumberFormat="1" applyFill="1" applyBorder="1"/>
    <xf numFmtId="0" fontId="0" fillId="2" borderId="6" xfId="0" applyFill="1" applyBorder="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0" fillId="2" borderId="7" xfId="0" applyFill="1" applyBorder="1"/>
    <xf numFmtId="14" fontId="2" fillId="4" borderId="4" xfId="0" applyNumberFormat="1" applyFont="1" applyFill="1" applyBorder="1"/>
  </cellXfs>
  <cellStyles count="1">
    <cellStyle name="Normal" xfId="0" builtinId="0"/>
  </cellStyles>
  <dxfs count="16">
    <dxf>
      <numFmt numFmtId="0" formatCode="General"/>
      <fill>
        <patternFill patternType="solid">
          <fgColor theme="5" tint="0.79998168889431442"/>
          <bgColor theme="5" tint="0.79998168889431442"/>
        </patternFill>
      </fill>
      <border diagonalUp="0" diagonalDown="0">
        <left style="thin">
          <color theme="0"/>
        </left>
        <right/>
        <top style="thin">
          <color theme="0"/>
        </top>
        <bottom style="thin">
          <color theme="0"/>
        </bottom>
        <vertical/>
        <horizontal/>
      </border>
    </dxf>
    <dxf>
      <numFmt numFmtId="0" formatCode="General"/>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numFmt numFmtId="0" formatCode="General"/>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fill>
        <patternFill patternType="solid">
          <fgColor theme="5" tint="0.79998168889431442"/>
          <bgColor theme="5" tint="0.79998168889431442"/>
        </patternFill>
      </fill>
      <border diagonalUp="0" diagonalDown="0">
        <left style="thin">
          <color theme="0"/>
        </left>
        <right style="thin">
          <color theme="0"/>
        </right>
        <top style="thin">
          <color theme="0"/>
        </top>
        <bottom style="thin">
          <color theme="0"/>
        </bottom>
        <vertical/>
        <horizontal/>
      </border>
    </dxf>
    <dxf>
      <numFmt numFmtId="19" formatCode="dd/mm/yyyy"/>
      <fill>
        <patternFill patternType="solid">
          <fgColor theme="5" tint="0.79998168889431442"/>
          <bgColor theme="5"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top style="thin">
          <color theme="0"/>
        </top>
        <bottom style="thin">
          <color theme="0"/>
        </bottom>
      </border>
    </dxf>
    <dxf>
      <fill>
        <patternFill patternType="solid">
          <fgColor theme="5" tint="0.79998168889431442"/>
          <bgColor theme="5" tint="0.79998168889431442"/>
        </patternFill>
      </fill>
    </dxf>
    <dxf>
      <border outline="0">
        <bottom style="thin">
          <color theme="0"/>
        </bottom>
      </border>
    </dxf>
    <dxf>
      <font>
        <b/>
        <strike val="0"/>
        <outline val="0"/>
        <shadow val="0"/>
        <u val="none"/>
        <vertAlign val="baseline"/>
        <sz val="11"/>
        <color theme="1"/>
        <name val="Aptos Narrow"/>
        <family val="2"/>
        <scheme val="minor"/>
      </font>
      <numFmt numFmtId="19" formatCode="dd/mm/yyyy"/>
      <fill>
        <patternFill patternType="solid">
          <fgColor theme="5" tint="0.79998168889431442"/>
          <bgColor theme="5" tint="0.59999389629810485"/>
        </patternFill>
      </fill>
      <border diagonalUp="0" diagonalDown="0" outline="0">
        <left style="thin">
          <color theme="0"/>
        </left>
        <right style="thin">
          <color theme="0"/>
        </right>
        <top/>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Vs Adj_close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Table'!$B$4:$B$15</c:f>
              <c:numCache>
                <c:formatCode>0.00</c:formatCode>
                <c:ptCount val="12"/>
                <c:pt idx="0">
                  <c:v>13.418976284208705</c:v>
                </c:pt>
                <c:pt idx="1">
                  <c:v>13.184868511400678</c:v>
                </c:pt>
                <c:pt idx="2">
                  <c:v>13.287925052642782</c:v>
                </c:pt>
                <c:pt idx="3">
                  <c:v>13.153613654049911</c:v>
                </c:pt>
                <c:pt idx="4">
                  <c:v>13.136386437849511</c:v>
                </c:pt>
                <c:pt idx="5">
                  <c:v>13.705100011825522</c:v>
                </c:pt>
                <c:pt idx="6">
                  <c:v>14.948840791528818</c:v>
                </c:pt>
                <c:pt idx="7">
                  <c:v>14.557659105821038</c:v>
                </c:pt>
                <c:pt idx="8">
                  <c:v>15.23647499084468</c:v>
                </c:pt>
                <c:pt idx="9">
                  <c:v>16.298717540243359</c:v>
                </c:pt>
                <c:pt idx="10">
                  <c:v>18.241600036621051</c:v>
                </c:pt>
                <c:pt idx="11">
                  <c:v>19.574833370390341</c:v>
                </c:pt>
              </c:numCache>
            </c:numRef>
          </c:val>
          <c:extLst>
            <c:ext xmlns:c16="http://schemas.microsoft.com/office/drawing/2014/chart" uri="{C3380CC4-5D6E-409C-BE32-E72D297353CC}">
              <c16:uniqueId val="{00000002-8259-4442-BC67-FE760F3210C1}"/>
            </c:ext>
          </c:extLst>
        </c:ser>
        <c:dLbls>
          <c:showLegendKey val="0"/>
          <c:showVal val="0"/>
          <c:showCatName val="0"/>
          <c:showSerName val="0"/>
          <c:showPercent val="0"/>
          <c:showBubbleSize val="0"/>
        </c:dLbls>
        <c:gapWidth val="219"/>
        <c:overlap val="-27"/>
        <c:axId val="1551845839"/>
        <c:axId val="1720584111"/>
      </c:barChart>
      <c:catAx>
        <c:axId val="15518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84111"/>
        <c:crosses val="autoZero"/>
        <c:auto val="1"/>
        <c:lblAlgn val="ctr"/>
        <c:lblOffset val="100"/>
        <c:noMultiLvlLbl val="0"/>
      </c:catAx>
      <c:valAx>
        <c:axId val="1720584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4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Vs Average Volume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F9-4B03-9198-E2DD5A9B48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F9-4B03-9198-E2DD5A9B48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F9-4B03-9198-E2DD5A9B48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DF9-4B03-9198-E2DD5A9B48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DF9-4B03-9198-E2DD5A9B48B4}"/>
              </c:ext>
            </c:extLst>
          </c:dPt>
          <c:cat>
            <c:strRef>
              <c:f>'Pivot Table'!$D$4:$D$8</c:f>
              <c:strCache>
                <c:ptCount val="5"/>
                <c:pt idx="0">
                  <c:v>Monday</c:v>
                </c:pt>
                <c:pt idx="1">
                  <c:v>Tuesday</c:v>
                </c:pt>
                <c:pt idx="2">
                  <c:v>Wednesday</c:v>
                </c:pt>
                <c:pt idx="3">
                  <c:v>Thursday</c:v>
                </c:pt>
                <c:pt idx="4">
                  <c:v>Friday</c:v>
                </c:pt>
              </c:strCache>
            </c:strRef>
          </c:cat>
          <c:val>
            <c:numRef>
              <c:f>'Pivot Table'!$E$4:$E$8</c:f>
              <c:numCache>
                <c:formatCode>General</c:formatCode>
                <c:ptCount val="5"/>
                <c:pt idx="0">
                  <c:v>56037375</c:v>
                </c:pt>
                <c:pt idx="1">
                  <c:v>55480884.615384616</c:v>
                </c:pt>
                <c:pt idx="2">
                  <c:v>55227450.980392158</c:v>
                </c:pt>
                <c:pt idx="3">
                  <c:v>58625960</c:v>
                </c:pt>
                <c:pt idx="4">
                  <c:v>71282666.666666672</c:v>
                </c:pt>
              </c:numCache>
            </c:numRef>
          </c:val>
          <c:extLst>
            <c:ext xmlns:c16="http://schemas.microsoft.com/office/drawing/2014/chart" uri="{C3380CC4-5D6E-409C-BE32-E72D297353CC}">
              <c16:uniqueId val="{00000002-CEC2-4095-B73D-F580280FCF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Vs Average close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c:f>
              <c:strCache>
                <c:ptCount val="1"/>
                <c:pt idx="0">
                  <c:v>2013</c:v>
                </c:pt>
              </c:strCache>
            </c:strRef>
          </c:cat>
          <c:val>
            <c:numRef>
              <c:f>'Pivot Table'!$H$4</c:f>
              <c:numCache>
                <c:formatCode>General</c:formatCode>
                <c:ptCount val="1"/>
                <c:pt idx="0">
                  <c:v>14.901579402741921</c:v>
                </c:pt>
              </c:numCache>
            </c:numRef>
          </c:val>
          <c:extLst>
            <c:ext xmlns:c16="http://schemas.microsoft.com/office/drawing/2014/chart" uri="{C3380CC4-5D6E-409C-BE32-E72D297353CC}">
              <c16:uniqueId val="{00000002-8255-449F-8598-4B4DFA42596C}"/>
            </c:ext>
          </c:extLst>
        </c:ser>
        <c:dLbls>
          <c:showLegendKey val="0"/>
          <c:showVal val="0"/>
          <c:showCatName val="0"/>
          <c:showSerName val="0"/>
          <c:showPercent val="0"/>
          <c:showBubbleSize val="0"/>
        </c:dLbls>
        <c:gapWidth val="150"/>
        <c:overlap val="100"/>
        <c:axId val="1764140095"/>
        <c:axId val="1720632591"/>
      </c:barChart>
      <c:catAx>
        <c:axId val="176414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32591"/>
        <c:crosses val="autoZero"/>
        <c:auto val="1"/>
        <c:lblAlgn val="ctr"/>
        <c:lblOffset val="100"/>
        <c:noMultiLvlLbl val="0"/>
      </c:catAx>
      <c:valAx>
        <c:axId val="172063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Vs Avrage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Table'!$K$4:$K$15</c:f>
              <c:numCache>
                <c:formatCode>General</c:formatCode>
                <c:ptCount val="12"/>
                <c:pt idx="0">
                  <c:v>80215619.047619045</c:v>
                </c:pt>
                <c:pt idx="1">
                  <c:v>72275473.684210524</c:v>
                </c:pt>
                <c:pt idx="2">
                  <c:v>58505700</c:v>
                </c:pt>
                <c:pt idx="3">
                  <c:v>69923818.181818187</c:v>
                </c:pt>
                <c:pt idx="4">
                  <c:v>53682272.727272727</c:v>
                </c:pt>
                <c:pt idx="5">
                  <c:v>58575800</c:v>
                </c:pt>
                <c:pt idx="6">
                  <c:v>61397181.81818182</c:v>
                </c:pt>
                <c:pt idx="7">
                  <c:v>39794454.545454547</c:v>
                </c:pt>
                <c:pt idx="8">
                  <c:v>43468800</c:v>
                </c:pt>
                <c:pt idx="9">
                  <c:v>67213391.304347828</c:v>
                </c:pt>
                <c:pt idx="10">
                  <c:v>54207700</c:v>
                </c:pt>
                <c:pt idx="11">
                  <c:v>53034952.380952381</c:v>
                </c:pt>
              </c:numCache>
            </c:numRef>
          </c:val>
          <c:extLst>
            <c:ext xmlns:c16="http://schemas.microsoft.com/office/drawing/2014/chart" uri="{C3380CC4-5D6E-409C-BE32-E72D297353CC}">
              <c16:uniqueId val="{00000002-C506-48DF-BD49-47D409D19315}"/>
            </c:ext>
          </c:extLst>
        </c:ser>
        <c:dLbls>
          <c:showLegendKey val="0"/>
          <c:showVal val="0"/>
          <c:showCatName val="0"/>
          <c:showSerName val="0"/>
          <c:showPercent val="0"/>
          <c:showBubbleSize val="0"/>
        </c:dLbls>
        <c:gapWidth val="219"/>
        <c:overlap val="-27"/>
        <c:axId val="1733337663"/>
        <c:axId val="1720578351"/>
      </c:barChart>
      <c:catAx>
        <c:axId val="173333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78351"/>
        <c:crosses val="autoZero"/>
        <c:auto val="1"/>
        <c:lblAlgn val="ctr"/>
        <c:lblOffset val="100"/>
        <c:noMultiLvlLbl val="0"/>
      </c:catAx>
      <c:valAx>
        <c:axId val="172057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Sum of Open</c:v>
                </c:pt>
              </c:strCache>
            </c:strRef>
          </c:tx>
          <c:spPr>
            <a:solidFill>
              <a:schemeClr val="accent1"/>
            </a:solidFill>
            <a:ln>
              <a:noFill/>
            </a:ln>
            <a:effectLst/>
          </c:spPr>
          <c:invertIfNegative val="0"/>
          <c:cat>
            <c:strRef>
              <c:f>'Pivot Table'!$M$4:$M$8</c:f>
              <c:strCache>
                <c:ptCount val="5"/>
                <c:pt idx="0">
                  <c:v>Monday</c:v>
                </c:pt>
                <c:pt idx="1">
                  <c:v>Tuesday</c:v>
                </c:pt>
                <c:pt idx="2">
                  <c:v>Wednesday</c:v>
                </c:pt>
                <c:pt idx="3">
                  <c:v>Thursday</c:v>
                </c:pt>
                <c:pt idx="4">
                  <c:v>Friday</c:v>
                </c:pt>
              </c:strCache>
            </c:strRef>
          </c:cat>
          <c:val>
            <c:numRef>
              <c:f>'Pivot Table'!$N$4:$N$8</c:f>
              <c:numCache>
                <c:formatCode>General</c:formatCode>
                <c:ptCount val="5"/>
                <c:pt idx="0">
                  <c:v>724.61549758910894</c:v>
                </c:pt>
                <c:pt idx="1">
                  <c:v>776.83850479125749</c:v>
                </c:pt>
                <c:pt idx="2">
                  <c:v>752.01450061797868</c:v>
                </c:pt>
                <c:pt idx="3">
                  <c:v>737.99199676513399</c:v>
                </c:pt>
                <c:pt idx="4">
                  <c:v>761.76600074767885</c:v>
                </c:pt>
              </c:numCache>
            </c:numRef>
          </c:val>
          <c:extLst>
            <c:ext xmlns:c16="http://schemas.microsoft.com/office/drawing/2014/chart" uri="{C3380CC4-5D6E-409C-BE32-E72D297353CC}">
              <c16:uniqueId val="{00000003-6179-4CCA-B1BB-D62C194CD652}"/>
            </c:ext>
          </c:extLst>
        </c:ser>
        <c:ser>
          <c:idx val="1"/>
          <c:order val="1"/>
          <c:tx>
            <c:strRef>
              <c:f>'Pivot Table'!$O$3</c:f>
              <c:strCache>
                <c:ptCount val="1"/>
                <c:pt idx="0">
                  <c:v>Sum of High</c:v>
                </c:pt>
              </c:strCache>
            </c:strRef>
          </c:tx>
          <c:spPr>
            <a:solidFill>
              <a:schemeClr val="accent2"/>
            </a:solidFill>
            <a:ln>
              <a:noFill/>
            </a:ln>
            <a:effectLst/>
          </c:spPr>
          <c:invertIfNegative val="0"/>
          <c:cat>
            <c:strRef>
              <c:f>'Pivot Table'!$M$4:$M$8</c:f>
              <c:strCache>
                <c:ptCount val="5"/>
                <c:pt idx="0">
                  <c:v>Monday</c:v>
                </c:pt>
                <c:pt idx="1">
                  <c:v>Tuesday</c:v>
                </c:pt>
                <c:pt idx="2">
                  <c:v>Wednesday</c:v>
                </c:pt>
                <c:pt idx="3">
                  <c:v>Thursday</c:v>
                </c:pt>
                <c:pt idx="4">
                  <c:v>Friday</c:v>
                </c:pt>
              </c:strCache>
            </c:strRef>
          </c:cat>
          <c:val>
            <c:numRef>
              <c:f>'Pivot Table'!$O$4:$O$8</c:f>
              <c:numCache>
                <c:formatCode>General</c:formatCode>
                <c:ptCount val="5"/>
                <c:pt idx="0">
                  <c:v>730.55599880218301</c:v>
                </c:pt>
                <c:pt idx="1">
                  <c:v>785.02050209045206</c:v>
                </c:pt>
                <c:pt idx="2">
                  <c:v>759.10750484466314</c:v>
                </c:pt>
                <c:pt idx="3">
                  <c:v>745.73250293731473</c:v>
                </c:pt>
                <c:pt idx="4">
                  <c:v>771.25100040435541</c:v>
                </c:pt>
              </c:numCache>
            </c:numRef>
          </c:val>
          <c:extLst>
            <c:ext xmlns:c16="http://schemas.microsoft.com/office/drawing/2014/chart" uri="{C3380CC4-5D6E-409C-BE32-E72D297353CC}">
              <c16:uniqueId val="{00000004-6179-4CCA-B1BB-D62C194CD652}"/>
            </c:ext>
          </c:extLst>
        </c:ser>
        <c:dLbls>
          <c:showLegendKey val="0"/>
          <c:showVal val="0"/>
          <c:showCatName val="0"/>
          <c:showSerName val="0"/>
          <c:showPercent val="0"/>
          <c:showBubbleSize val="0"/>
        </c:dLbls>
        <c:gapWidth val="219"/>
        <c:overlap val="-27"/>
        <c:axId val="1764123391"/>
        <c:axId val="1720625871"/>
      </c:barChart>
      <c:catAx>
        <c:axId val="17641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25871"/>
        <c:crosses val="autoZero"/>
        <c:auto val="1"/>
        <c:lblAlgn val="ctr"/>
        <c:lblOffset val="100"/>
        <c:noMultiLvlLbl val="0"/>
      </c:catAx>
      <c:valAx>
        <c:axId val="172062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Table!PivotTable8</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Table'!$R$3</c:f>
              <c:strCache>
                <c:ptCount val="1"/>
                <c:pt idx="0">
                  <c:v>Sum of Low</c:v>
                </c:pt>
              </c:strCache>
            </c:strRef>
          </c:tx>
          <c:spPr>
            <a:ln w="28575" cap="rnd">
              <a:solidFill>
                <a:schemeClr val="accent1"/>
              </a:solidFill>
              <a:round/>
            </a:ln>
            <a:effectLst/>
          </c:spPr>
          <c:marker>
            <c:symbol val="none"/>
          </c:marker>
          <c:cat>
            <c:strRef>
              <c:f>'Pivot Table'!$Q$4:$Q$8</c:f>
              <c:strCache>
                <c:ptCount val="5"/>
                <c:pt idx="0">
                  <c:v>Monday</c:v>
                </c:pt>
                <c:pt idx="1">
                  <c:v>Tuesday</c:v>
                </c:pt>
                <c:pt idx="2">
                  <c:v>Wednesday</c:v>
                </c:pt>
                <c:pt idx="3">
                  <c:v>Thursday</c:v>
                </c:pt>
                <c:pt idx="4">
                  <c:v>Friday</c:v>
                </c:pt>
              </c:strCache>
            </c:strRef>
          </c:cat>
          <c:val>
            <c:numRef>
              <c:f>'Pivot Table'!$R$4:$R$8</c:f>
              <c:numCache>
                <c:formatCode>General</c:formatCode>
                <c:ptCount val="5"/>
                <c:pt idx="0">
                  <c:v>715.70199966430459</c:v>
                </c:pt>
                <c:pt idx="1">
                  <c:v>769.20000553130865</c:v>
                </c:pt>
                <c:pt idx="2">
                  <c:v>743.26150608062517</c:v>
                </c:pt>
                <c:pt idx="3">
                  <c:v>730.19200038909696</c:v>
                </c:pt>
                <c:pt idx="4">
                  <c:v>754.31650066375551</c:v>
                </c:pt>
              </c:numCache>
            </c:numRef>
          </c:val>
          <c:smooth val="0"/>
          <c:extLst>
            <c:ext xmlns:c16="http://schemas.microsoft.com/office/drawing/2014/chart" uri="{C3380CC4-5D6E-409C-BE32-E72D297353CC}">
              <c16:uniqueId val="{00000003-2850-4430-9D9B-8682F3C3B5A0}"/>
            </c:ext>
          </c:extLst>
        </c:ser>
        <c:ser>
          <c:idx val="1"/>
          <c:order val="1"/>
          <c:tx>
            <c:strRef>
              <c:f>'Pivot Table'!$S$3</c:f>
              <c:strCache>
                <c:ptCount val="1"/>
                <c:pt idx="0">
                  <c:v>Sum of Close</c:v>
                </c:pt>
              </c:strCache>
            </c:strRef>
          </c:tx>
          <c:spPr>
            <a:ln w="28575" cap="rnd">
              <a:solidFill>
                <a:schemeClr val="accent2"/>
              </a:solidFill>
              <a:round/>
            </a:ln>
            <a:effectLst/>
          </c:spPr>
          <c:marker>
            <c:symbol val="none"/>
          </c:marker>
          <c:cat>
            <c:strRef>
              <c:f>'Pivot Table'!$Q$4:$Q$8</c:f>
              <c:strCache>
                <c:ptCount val="5"/>
                <c:pt idx="0">
                  <c:v>Monday</c:v>
                </c:pt>
                <c:pt idx="1">
                  <c:v>Tuesday</c:v>
                </c:pt>
                <c:pt idx="2">
                  <c:v>Wednesday</c:v>
                </c:pt>
                <c:pt idx="3">
                  <c:v>Thursday</c:v>
                </c:pt>
                <c:pt idx="4">
                  <c:v>Friday</c:v>
                </c:pt>
              </c:strCache>
            </c:strRef>
          </c:cat>
          <c:val>
            <c:numRef>
              <c:f>'Pivot Table'!$S$4:$S$8</c:f>
              <c:numCache>
                <c:formatCode>General</c:formatCode>
                <c:ptCount val="5"/>
                <c:pt idx="0">
                  <c:v>722.02600383758295</c:v>
                </c:pt>
                <c:pt idx="1">
                  <c:v>778.02200126647733</c:v>
                </c:pt>
                <c:pt idx="2">
                  <c:v>751.16100311279081</c:v>
                </c:pt>
                <c:pt idx="3">
                  <c:v>738.97500038146734</c:v>
                </c:pt>
                <c:pt idx="4">
                  <c:v>765.01400089263632</c:v>
                </c:pt>
              </c:numCache>
            </c:numRef>
          </c:val>
          <c:smooth val="0"/>
          <c:extLst>
            <c:ext xmlns:c16="http://schemas.microsoft.com/office/drawing/2014/chart" uri="{C3380CC4-5D6E-409C-BE32-E72D297353CC}">
              <c16:uniqueId val="{00000004-2850-4430-9D9B-8682F3C3B5A0}"/>
            </c:ext>
          </c:extLst>
        </c:ser>
        <c:dLbls>
          <c:showLegendKey val="0"/>
          <c:showVal val="0"/>
          <c:showCatName val="0"/>
          <c:showSerName val="0"/>
          <c:showPercent val="0"/>
          <c:showBubbleSize val="0"/>
        </c:dLbls>
        <c:smooth val="0"/>
        <c:axId val="1762480543"/>
        <c:axId val="1720573071"/>
      </c:lineChart>
      <c:catAx>
        <c:axId val="17624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73071"/>
        <c:crosses val="autoZero"/>
        <c:auto val="1"/>
        <c:lblAlgn val="ctr"/>
        <c:lblOffset val="100"/>
        <c:noMultiLvlLbl val="0"/>
      </c:catAx>
      <c:valAx>
        <c:axId val="1720573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Vs Adj_close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Table'!$B$4:$B$15</c:f>
              <c:numCache>
                <c:formatCode>0.00</c:formatCode>
                <c:ptCount val="12"/>
                <c:pt idx="0">
                  <c:v>13.418976284208705</c:v>
                </c:pt>
                <c:pt idx="1">
                  <c:v>13.184868511400678</c:v>
                </c:pt>
                <c:pt idx="2">
                  <c:v>13.287925052642782</c:v>
                </c:pt>
                <c:pt idx="3">
                  <c:v>13.153613654049911</c:v>
                </c:pt>
                <c:pt idx="4">
                  <c:v>13.136386437849511</c:v>
                </c:pt>
                <c:pt idx="5">
                  <c:v>13.705100011825522</c:v>
                </c:pt>
                <c:pt idx="6">
                  <c:v>14.948840791528818</c:v>
                </c:pt>
                <c:pt idx="7">
                  <c:v>14.557659105821038</c:v>
                </c:pt>
                <c:pt idx="8">
                  <c:v>15.23647499084468</c:v>
                </c:pt>
                <c:pt idx="9">
                  <c:v>16.298717540243359</c:v>
                </c:pt>
                <c:pt idx="10">
                  <c:v>18.241600036621051</c:v>
                </c:pt>
                <c:pt idx="11">
                  <c:v>19.574833370390341</c:v>
                </c:pt>
              </c:numCache>
            </c:numRef>
          </c:val>
          <c:extLst>
            <c:ext xmlns:c16="http://schemas.microsoft.com/office/drawing/2014/chart" uri="{C3380CC4-5D6E-409C-BE32-E72D297353CC}">
              <c16:uniqueId val="{00000001-96FA-49B4-8A49-EDB5876B0EF3}"/>
            </c:ext>
          </c:extLst>
        </c:ser>
        <c:dLbls>
          <c:showLegendKey val="0"/>
          <c:showVal val="0"/>
          <c:showCatName val="0"/>
          <c:showSerName val="0"/>
          <c:showPercent val="0"/>
          <c:showBubbleSize val="0"/>
        </c:dLbls>
        <c:gapWidth val="219"/>
        <c:overlap val="-27"/>
        <c:axId val="1551845839"/>
        <c:axId val="1720584111"/>
      </c:barChart>
      <c:catAx>
        <c:axId val="15518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84111"/>
        <c:crosses val="autoZero"/>
        <c:auto val="1"/>
        <c:lblAlgn val="ctr"/>
        <c:lblOffset val="100"/>
        <c:noMultiLvlLbl val="0"/>
      </c:catAx>
      <c:valAx>
        <c:axId val="1720584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845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a:t>
            </a:r>
            <a:r>
              <a:rPr lang="en-US" baseline="0"/>
              <a:t> Vs Average Volume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0546737213403876E-2"/>
              <c:y val="-9.33333333333333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49559082892416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34567901234567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94447916232694"/>
                  <c:h val="0.20204094488188976"/>
                </c:manualLayout>
              </c15:layout>
            </c:ext>
          </c:extLst>
        </c:dLbl>
      </c:pivotFmt>
      <c:pivotFmt>
        <c:idx val="11"/>
        <c:spPr>
          <a:solidFill>
            <a:schemeClr val="accent1"/>
          </a:solidFill>
          <a:ln w="19050">
            <a:solidFill>
              <a:schemeClr val="lt1"/>
            </a:solidFill>
          </a:ln>
          <a:effectLst/>
        </c:spPr>
        <c:dLbl>
          <c:idx val="0"/>
          <c:layout>
            <c:manualLayout>
              <c:x val="-1.7636684303350969E-2"/>
              <c:y val="6.66666666666665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5.2910052910052907E-2"/>
              <c:y val="-0.146666666666666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6-44C2-B7CD-526B4A1A63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6-44C2-B7CD-526B4A1A63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6-44C2-B7CD-526B4A1A63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6-44C2-B7CD-526B4A1A63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16-44C2-B7CD-526B4A1A6365}"/>
              </c:ext>
            </c:extLst>
          </c:dPt>
          <c:dLbls>
            <c:dLbl>
              <c:idx val="0"/>
              <c:layout>
                <c:manualLayout>
                  <c:x val="7.0546737213403876E-2"/>
                  <c:y val="-9.33333333333333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16-44C2-B7CD-526B4A1A6365}"/>
                </c:ext>
              </c:extLst>
            </c:dLbl>
            <c:dLbl>
              <c:idx val="1"/>
              <c:layout>
                <c:manualLayout>
                  <c:x val="7.4955908289241618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16-44C2-B7CD-526B4A1A6365}"/>
                </c:ext>
              </c:extLst>
            </c:dLbl>
            <c:dLbl>
              <c:idx val="2"/>
              <c:layout>
                <c:manualLayout>
                  <c:x val="0.12345679012345678"/>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694447916232694"/>
                      <c:h val="0.20204094488188976"/>
                    </c:manualLayout>
                  </c15:layout>
                </c:ext>
                <c:ext xmlns:c16="http://schemas.microsoft.com/office/drawing/2014/chart" uri="{C3380CC4-5D6E-409C-BE32-E72D297353CC}">
                  <c16:uniqueId val="{00000005-1C16-44C2-B7CD-526B4A1A6365}"/>
                </c:ext>
              </c:extLst>
            </c:dLbl>
            <c:dLbl>
              <c:idx val="3"/>
              <c:layout>
                <c:manualLayout>
                  <c:x val="-1.7636684303350969E-2"/>
                  <c:y val="6.666666666666654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C16-44C2-B7CD-526B4A1A6365}"/>
                </c:ext>
              </c:extLst>
            </c:dLbl>
            <c:dLbl>
              <c:idx val="4"/>
              <c:layout>
                <c:manualLayout>
                  <c:x val="-5.2910052910052907E-2"/>
                  <c:y val="-0.1466666666666666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C16-44C2-B7CD-526B4A1A636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Table'!$D$4:$D$8</c:f>
              <c:strCache>
                <c:ptCount val="5"/>
                <c:pt idx="0">
                  <c:v>Monday</c:v>
                </c:pt>
                <c:pt idx="1">
                  <c:v>Tuesday</c:v>
                </c:pt>
                <c:pt idx="2">
                  <c:v>Wednesday</c:v>
                </c:pt>
                <c:pt idx="3">
                  <c:v>Thursday</c:v>
                </c:pt>
                <c:pt idx="4">
                  <c:v>Friday</c:v>
                </c:pt>
              </c:strCache>
            </c:strRef>
          </c:cat>
          <c:val>
            <c:numRef>
              <c:f>'Pivot Table'!$E$4:$E$8</c:f>
              <c:numCache>
                <c:formatCode>General</c:formatCode>
                <c:ptCount val="5"/>
                <c:pt idx="0">
                  <c:v>56037375</c:v>
                </c:pt>
                <c:pt idx="1">
                  <c:v>55480884.615384616</c:v>
                </c:pt>
                <c:pt idx="2">
                  <c:v>55227450.980392158</c:v>
                </c:pt>
                <c:pt idx="3">
                  <c:v>58625960</c:v>
                </c:pt>
                <c:pt idx="4">
                  <c:v>71282666.666666672</c:v>
                </c:pt>
              </c:numCache>
            </c:numRef>
          </c:val>
          <c:extLst>
            <c:ext xmlns:c16="http://schemas.microsoft.com/office/drawing/2014/chart" uri="{C3380CC4-5D6E-409C-BE32-E72D297353CC}">
              <c16:uniqueId val="{0000000B-7556-4649-BDDB-E7631BD83A2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Vs Average close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c:f>
              <c:strCache>
                <c:ptCount val="1"/>
                <c:pt idx="0">
                  <c:v>2013</c:v>
                </c:pt>
              </c:strCache>
            </c:strRef>
          </c:cat>
          <c:val>
            <c:numRef>
              <c:f>'Pivot Table'!$H$4</c:f>
              <c:numCache>
                <c:formatCode>General</c:formatCode>
                <c:ptCount val="1"/>
                <c:pt idx="0">
                  <c:v>14.901579402741921</c:v>
                </c:pt>
              </c:numCache>
            </c:numRef>
          </c:val>
          <c:extLst>
            <c:ext xmlns:c16="http://schemas.microsoft.com/office/drawing/2014/chart" uri="{C3380CC4-5D6E-409C-BE32-E72D297353CC}">
              <c16:uniqueId val="{00000001-BEBA-4BDF-808B-42D62B4BB660}"/>
            </c:ext>
          </c:extLst>
        </c:ser>
        <c:dLbls>
          <c:showLegendKey val="0"/>
          <c:showVal val="0"/>
          <c:showCatName val="0"/>
          <c:showSerName val="0"/>
          <c:showPercent val="0"/>
          <c:showBubbleSize val="0"/>
        </c:dLbls>
        <c:gapWidth val="150"/>
        <c:overlap val="100"/>
        <c:axId val="1764140095"/>
        <c:axId val="1720632591"/>
      </c:barChart>
      <c:catAx>
        <c:axId val="1764140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32591"/>
        <c:crosses val="autoZero"/>
        <c:auto val="1"/>
        <c:lblAlgn val="ctr"/>
        <c:lblOffset val="100"/>
        <c:noMultiLvlLbl val="0"/>
      </c:catAx>
      <c:valAx>
        <c:axId val="172063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Vs Avrage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Table'!$K$4:$K$15</c:f>
              <c:numCache>
                <c:formatCode>General</c:formatCode>
                <c:ptCount val="12"/>
                <c:pt idx="0">
                  <c:v>80215619.047619045</c:v>
                </c:pt>
                <c:pt idx="1">
                  <c:v>72275473.684210524</c:v>
                </c:pt>
                <c:pt idx="2">
                  <c:v>58505700</c:v>
                </c:pt>
                <c:pt idx="3">
                  <c:v>69923818.181818187</c:v>
                </c:pt>
                <c:pt idx="4">
                  <c:v>53682272.727272727</c:v>
                </c:pt>
                <c:pt idx="5">
                  <c:v>58575800</c:v>
                </c:pt>
                <c:pt idx="6">
                  <c:v>61397181.81818182</c:v>
                </c:pt>
                <c:pt idx="7">
                  <c:v>39794454.545454547</c:v>
                </c:pt>
                <c:pt idx="8">
                  <c:v>43468800</c:v>
                </c:pt>
                <c:pt idx="9">
                  <c:v>67213391.304347828</c:v>
                </c:pt>
                <c:pt idx="10">
                  <c:v>54207700</c:v>
                </c:pt>
                <c:pt idx="11">
                  <c:v>53034952.380952381</c:v>
                </c:pt>
              </c:numCache>
            </c:numRef>
          </c:val>
          <c:extLst>
            <c:ext xmlns:c16="http://schemas.microsoft.com/office/drawing/2014/chart" uri="{C3380CC4-5D6E-409C-BE32-E72D297353CC}">
              <c16:uniqueId val="{00000001-BFB6-4E81-ABDE-FFD0C13E6FBD}"/>
            </c:ext>
          </c:extLst>
        </c:ser>
        <c:dLbls>
          <c:showLegendKey val="0"/>
          <c:showVal val="0"/>
          <c:showCatName val="0"/>
          <c:showSerName val="0"/>
          <c:showPercent val="0"/>
          <c:showBubbleSize val="0"/>
        </c:dLbls>
        <c:gapWidth val="219"/>
        <c:overlap val="-27"/>
        <c:axId val="1733337663"/>
        <c:axId val="1720578351"/>
      </c:barChart>
      <c:catAx>
        <c:axId val="173333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78351"/>
        <c:crosses val="autoZero"/>
        <c:auto val="1"/>
        <c:lblAlgn val="ctr"/>
        <c:lblOffset val="100"/>
        <c:noMultiLvlLbl val="0"/>
      </c:catAx>
      <c:valAx>
        <c:axId val="1720578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3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Sum of Open</c:v>
                </c:pt>
              </c:strCache>
            </c:strRef>
          </c:tx>
          <c:spPr>
            <a:solidFill>
              <a:schemeClr val="accent1"/>
            </a:solidFill>
            <a:ln>
              <a:noFill/>
            </a:ln>
            <a:effectLst/>
          </c:spPr>
          <c:invertIfNegative val="0"/>
          <c:cat>
            <c:strRef>
              <c:f>'Pivot Table'!$M$4:$M$8</c:f>
              <c:strCache>
                <c:ptCount val="5"/>
                <c:pt idx="0">
                  <c:v>Monday</c:v>
                </c:pt>
                <c:pt idx="1">
                  <c:v>Tuesday</c:v>
                </c:pt>
                <c:pt idx="2">
                  <c:v>Wednesday</c:v>
                </c:pt>
                <c:pt idx="3">
                  <c:v>Thursday</c:v>
                </c:pt>
                <c:pt idx="4">
                  <c:v>Friday</c:v>
                </c:pt>
              </c:strCache>
            </c:strRef>
          </c:cat>
          <c:val>
            <c:numRef>
              <c:f>'Pivot Table'!$N$4:$N$8</c:f>
              <c:numCache>
                <c:formatCode>General</c:formatCode>
                <c:ptCount val="5"/>
                <c:pt idx="0">
                  <c:v>724.61549758910894</c:v>
                </c:pt>
                <c:pt idx="1">
                  <c:v>776.83850479125749</c:v>
                </c:pt>
                <c:pt idx="2">
                  <c:v>752.01450061797868</c:v>
                </c:pt>
                <c:pt idx="3">
                  <c:v>737.99199676513399</c:v>
                </c:pt>
                <c:pt idx="4">
                  <c:v>761.76600074767885</c:v>
                </c:pt>
              </c:numCache>
            </c:numRef>
          </c:val>
          <c:extLst>
            <c:ext xmlns:c16="http://schemas.microsoft.com/office/drawing/2014/chart" uri="{C3380CC4-5D6E-409C-BE32-E72D297353CC}">
              <c16:uniqueId val="{00000002-4544-4DC4-9E04-D36E688C446C}"/>
            </c:ext>
          </c:extLst>
        </c:ser>
        <c:ser>
          <c:idx val="1"/>
          <c:order val="1"/>
          <c:tx>
            <c:strRef>
              <c:f>'Pivot Table'!$O$3</c:f>
              <c:strCache>
                <c:ptCount val="1"/>
                <c:pt idx="0">
                  <c:v>Sum of High</c:v>
                </c:pt>
              </c:strCache>
            </c:strRef>
          </c:tx>
          <c:spPr>
            <a:solidFill>
              <a:schemeClr val="accent2"/>
            </a:solidFill>
            <a:ln>
              <a:noFill/>
            </a:ln>
            <a:effectLst/>
          </c:spPr>
          <c:invertIfNegative val="0"/>
          <c:cat>
            <c:strRef>
              <c:f>'Pivot Table'!$M$4:$M$8</c:f>
              <c:strCache>
                <c:ptCount val="5"/>
                <c:pt idx="0">
                  <c:v>Monday</c:v>
                </c:pt>
                <c:pt idx="1">
                  <c:v>Tuesday</c:v>
                </c:pt>
                <c:pt idx="2">
                  <c:v>Wednesday</c:v>
                </c:pt>
                <c:pt idx="3">
                  <c:v>Thursday</c:v>
                </c:pt>
                <c:pt idx="4">
                  <c:v>Friday</c:v>
                </c:pt>
              </c:strCache>
            </c:strRef>
          </c:cat>
          <c:val>
            <c:numRef>
              <c:f>'Pivot Table'!$O$4:$O$8</c:f>
              <c:numCache>
                <c:formatCode>General</c:formatCode>
                <c:ptCount val="5"/>
                <c:pt idx="0">
                  <c:v>730.55599880218301</c:v>
                </c:pt>
                <c:pt idx="1">
                  <c:v>785.02050209045206</c:v>
                </c:pt>
                <c:pt idx="2">
                  <c:v>759.10750484466314</c:v>
                </c:pt>
                <c:pt idx="3">
                  <c:v>745.73250293731473</c:v>
                </c:pt>
                <c:pt idx="4">
                  <c:v>771.25100040435541</c:v>
                </c:pt>
              </c:numCache>
            </c:numRef>
          </c:val>
          <c:extLst>
            <c:ext xmlns:c16="http://schemas.microsoft.com/office/drawing/2014/chart" uri="{C3380CC4-5D6E-409C-BE32-E72D297353CC}">
              <c16:uniqueId val="{00000003-4544-4DC4-9E04-D36E688C446C}"/>
            </c:ext>
          </c:extLst>
        </c:ser>
        <c:dLbls>
          <c:showLegendKey val="0"/>
          <c:showVal val="0"/>
          <c:showCatName val="0"/>
          <c:showSerName val="0"/>
          <c:showPercent val="0"/>
          <c:showBubbleSize val="0"/>
        </c:dLbls>
        <c:gapWidth val="219"/>
        <c:overlap val="-27"/>
        <c:axId val="1764123391"/>
        <c:axId val="1720625871"/>
      </c:barChart>
      <c:catAx>
        <c:axId val="17641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25871"/>
        <c:crosses val="autoZero"/>
        <c:auto val="1"/>
        <c:lblAlgn val="ctr"/>
        <c:lblOffset val="100"/>
        <c:noMultiLvlLbl val="0"/>
      </c:catAx>
      <c:valAx>
        <c:axId val="172062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1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Stock.xlsx]Pivot Table!PivotTable8</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Table'!$R$3</c:f>
              <c:strCache>
                <c:ptCount val="1"/>
                <c:pt idx="0">
                  <c:v>Sum of Low</c:v>
                </c:pt>
              </c:strCache>
            </c:strRef>
          </c:tx>
          <c:spPr>
            <a:ln w="28575" cap="rnd">
              <a:solidFill>
                <a:schemeClr val="accent1"/>
              </a:solidFill>
              <a:round/>
            </a:ln>
            <a:effectLst/>
          </c:spPr>
          <c:marker>
            <c:symbol val="none"/>
          </c:marker>
          <c:cat>
            <c:strRef>
              <c:f>'Pivot Table'!$Q$4:$Q$8</c:f>
              <c:strCache>
                <c:ptCount val="5"/>
                <c:pt idx="0">
                  <c:v>Monday</c:v>
                </c:pt>
                <c:pt idx="1">
                  <c:v>Tuesday</c:v>
                </c:pt>
                <c:pt idx="2">
                  <c:v>Wednesday</c:v>
                </c:pt>
                <c:pt idx="3">
                  <c:v>Thursday</c:v>
                </c:pt>
                <c:pt idx="4">
                  <c:v>Friday</c:v>
                </c:pt>
              </c:strCache>
            </c:strRef>
          </c:cat>
          <c:val>
            <c:numRef>
              <c:f>'Pivot Table'!$R$4:$R$8</c:f>
              <c:numCache>
                <c:formatCode>General</c:formatCode>
                <c:ptCount val="5"/>
                <c:pt idx="0">
                  <c:v>715.70199966430459</c:v>
                </c:pt>
                <c:pt idx="1">
                  <c:v>769.20000553130865</c:v>
                </c:pt>
                <c:pt idx="2">
                  <c:v>743.26150608062517</c:v>
                </c:pt>
                <c:pt idx="3">
                  <c:v>730.19200038909696</c:v>
                </c:pt>
                <c:pt idx="4">
                  <c:v>754.31650066375551</c:v>
                </c:pt>
              </c:numCache>
            </c:numRef>
          </c:val>
          <c:smooth val="0"/>
          <c:extLst>
            <c:ext xmlns:c16="http://schemas.microsoft.com/office/drawing/2014/chart" uri="{C3380CC4-5D6E-409C-BE32-E72D297353CC}">
              <c16:uniqueId val="{00000002-D32B-4344-BBE1-0B759257981D}"/>
            </c:ext>
          </c:extLst>
        </c:ser>
        <c:ser>
          <c:idx val="1"/>
          <c:order val="1"/>
          <c:tx>
            <c:strRef>
              <c:f>'Pivot Table'!$S$3</c:f>
              <c:strCache>
                <c:ptCount val="1"/>
                <c:pt idx="0">
                  <c:v>Sum of Close</c:v>
                </c:pt>
              </c:strCache>
            </c:strRef>
          </c:tx>
          <c:spPr>
            <a:ln w="28575" cap="rnd">
              <a:solidFill>
                <a:schemeClr val="accent2"/>
              </a:solidFill>
              <a:round/>
            </a:ln>
            <a:effectLst/>
          </c:spPr>
          <c:marker>
            <c:symbol val="none"/>
          </c:marker>
          <c:cat>
            <c:strRef>
              <c:f>'Pivot Table'!$Q$4:$Q$8</c:f>
              <c:strCache>
                <c:ptCount val="5"/>
                <c:pt idx="0">
                  <c:v>Monday</c:v>
                </c:pt>
                <c:pt idx="1">
                  <c:v>Tuesday</c:v>
                </c:pt>
                <c:pt idx="2">
                  <c:v>Wednesday</c:v>
                </c:pt>
                <c:pt idx="3">
                  <c:v>Thursday</c:v>
                </c:pt>
                <c:pt idx="4">
                  <c:v>Friday</c:v>
                </c:pt>
              </c:strCache>
            </c:strRef>
          </c:cat>
          <c:val>
            <c:numRef>
              <c:f>'Pivot Table'!$S$4:$S$8</c:f>
              <c:numCache>
                <c:formatCode>General</c:formatCode>
                <c:ptCount val="5"/>
                <c:pt idx="0">
                  <c:v>722.02600383758295</c:v>
                </c:pt>
                <c:pt idx="1">
                  <c:v>778.02200126647733</c:v>
                </c:pt>
                <c:pt idx="2">
                  <c:v>751.16100311279081</c:v>
                </c:pt>
                <c:pt idx="3">
                  <c:v>738.97500038146734</c:v>
                </c:pt>
                <c:pt idx="4">
                  <c:v>765.01400089263632</c:v>
                </c:pt>
              </c:numCache>
            </c:numRef>
          </c:val>
          <c:smooth val="0"/>
          <c:extLst>
            <c:ext xmlns:c16="http://schemas.microsoft.com/office/drawing/2014/chart" uri="{C3380CC4-5D6E-409C-BE32-E72D297353CC}">
              <c16:uniqueId val="{00000003-D32B-4344-BBE1-0B759257981D}"/>
            </c:ext>
          </c:extLst>
        </c:ser>
        <c:dLbls>
          <c:showLegendKey val="0"/>
          <c:showVal val="0"/>
          <c:showCatName val="0"/>
          <c:showSerName val="0"/>
          <c:showPercent val="0"/>
          <c:showBubbleSize val="0"/>
        </c:dLbls>
        <c:smooth val="0"/>
        <c:axId val="1762480543"/>
        <c:axId val="1720573071"/>
      </c:lineChart>
      <c:catAx>
        <c:axId val="1762480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73071"/>
        <c:crosses val="autoZero"/>
        <c:auto val="1"/>
        <c:lblAlgn val="ctr"/>
        <c:lblOffset val="100"/>
        <c:noMultiLvlLbl val="0"/>
      </c:catAx>
      <c:valAx>
        <c:axId val="1720573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48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152400</xdr:colOff>
      <xdr:row>16</xdr:row>
      <xdr:rowOff>76200</xdr:rowOff>
    </xdr:from>
    <xdr:to>
      <xdr:col>4</xdr:col>
      <xdr:colOff>91440</xdr:colOff>
      <xdr:row>27</xdr:row>
      <xdr:rowOff>30480</xdr:rowOff>
    </xdr:to>
    <xdr:graphicFrame macro="">
      <xdr:nvGraphicFramePr>
        <xdr:cNvPr id="2" name="Chart 1">
          <a:extLst>
            <a:ext uri="{FF2B5EF4-FFF2-40B4-BE49-F238E27FC236}">
              <a16:creationId xmlns:a16="http://schemas.microsoft.com/office/drawing/2014/main" id="{A404DC71-8786-90F4-DCDC-3A9EDF7E1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13</xdr:row>
      <xdr:rowOff>137160</xdr:rowOff>
    </xdr:from>
    <xdr:to>
      <xdr:col>7</xdr:col>
      <xdr:colOff>822960</xdr:colOff>
      <xdr:row>22</xdr:row>
      <xdr:rowOff>137160</xdr:rowOff>
    </xdr:to>
    <xdr:graphicFrame macro="">
      <xdr:nvGraphicFramePr>
        <xdr:cNvPr id="3" name="Chart 2">
          <a:extLst>
            <a:ext uri="{FF2B5EF4-FFF2-40B4-BE49-F238E27FC236}">
              <a16:creationId xmlns:a16="http://schemas.microsoft.com/office/drawing/2014/main" id="{8CCD43BB-1952-8609-06DB-8FAB3817D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320040</xdr:colOff>
      <xdr:row>23</xdr:row>
      <xdr:rowOff>60960</xdr:rowOff>
    </xdr:from>
    <xdr:to>
      <xdr:col>7</xdr:col>
      <xdr:colOff>830580</xdr:colOff>
      <xdr:row>32</xdr:row>
      <xdr:rowOff>15240</xdr:rowOff>
    </xdr:to>
    <xdr:graphicFrame macro="">
      <xdr:nvGraphicFramePr>
        <xdr:cNvPr id="5" name="Chart 4">
          <a:extLst>
            <a:ext uri="{FF2B5EF4-FFF2-40B4-BE49-F238E27FC236}">
              <a16:creationId xmlns:a16="http://schemas.microsoft.com/office/drawing/2014/main" id="{B1A71288-1963-F222-B107-C958E984F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xdr:colOff>
      <xdr:row>16</xdr:row>
      <xdr:rowOff>121920</xdr:rowOff>
    </xdr:from>
    <xdr:to>
      <xdr:col>11</xdr:col>
      <xdr:colOff>403860</xdr:colOff>
      <xdr:row>25</xdr:row>
      <xdr:rowOff>144780</xdr:rowOff>
    </xdr:to>
    <xdr:graphicFrame macro="">
      <xdr:nvGraphicFramePr>
        <xdr:cNvPr id="6" name="Chart 5">
          <a:extLst>
            <a:ext uri="{FF2B5EF4-FFF2-40B4-BE49-F238E27FC236}">
              <a16:creationId xmlns:a16="http://schemas.microsoft.com/office/drawing/2014/main" id="{2D3B6411-3286-5838-BD51-1FF45C42D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647700</xdr:colOff>
      <xdr:row>11</xdr:row>
      <xdr:rowOff>7620</xdr:rowOff>
    </xdr:from>
    <xdr:to>
      <xdr:col>16</xdr:col>
      <xdr:colOff>533400</xdr:colOff>
      <xdr:row>22</xdr:row>
      <xdr:rowOff>152400</xdr:rowOff>
    </xdr:to>
    <xdr:graphicFrame macro="">
      <xdr:nvGraphicFramePr>
        <xdr:cNvPr id="7" name="Chart 6">
          <a:extLst>
            <a:ext uri="{FF2B5EF4-FFF2-40B4-BE49-F238E27FC236}">
              <a16:creationId xmlns:a16="http://schemas.microsoft.com/office/drawing/2014/main" id="{8A51A235-7D61-E7D7-51F8-30E622041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198120</xdr:colOff>
      <xdr:row>12</xdr:row>
      <xdr:rowOff>167640</xdr:rowOff>
    </xdr:from>
    <xdr:to>
      <xdr:col>21</xdr:col>
      <xdr:colOff>419100</xdr:colOff>
      <xdr:row>23</xdr:row>
      <xdr:rowOff>148590</xdr:rowOff>
    </xdr:to>
    <xdr:graphicFrame macro="">
      <xdr:nvGraphicFramePr>
        <xdr:cNvPr id="8" name="Chart 7">
          <a:extLst>
            <a:ext uri="{FF2B5EF4-FFF2-40B4-BE49-F238E27FC236}">
              <a16:creationId xmlns:a16="http://schemas.microsoft.com/office/drawing/2014/main" id="{DE5F5EE0-09C6-1965-B0D6-9724CBB24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6</xdr:col>
      <xdr:colOff>205740</xdr:colOff>
      <xdr:row>13</xdr:row>
      <xdr:rowOff>137160</xdr:rowOff>
    </xdr:to>
    <xdr:graphicFrame macro="">
      <xdr:nvGraphicFramePr>
        <xdr:cNvPr id="2" name="Chart 1">
          <a:extLst>
            <a:ext uri="{FF2B5EF4-FFF2-40B4-BE49-F238E27FC236}">
              <a16:creationId xmlns:a16="http://schemas.microsoft.com/office/drawing/2014/main" id="{141F1F98-ACE9-45D5-B86A-EB6D9239D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2</xdr:row>
      <xdr:rowOff>175260</xdr:rowOff>
    </xdr:from>
    <xdr:to>
      <xdr:col>11</xdr:col>
      <xdr:colOff>220980</xdr:colOff>
      <xdr:row>13</xdr:row>
      <xdr:rowOff>68580</xdr:rowOff>
    </xdr:to>
    <xdr:graphicFrame macro="">
      <xdr:nvGraphicFramePr>
        <xdr:cNvPr id="3" name="Chart 2">
          <a:extLst>
            <a:ext uri="{FF2B5EF4-FFF2-40B4-BE49-F238E27FC236}">
              <a16:creationId xmlns:a16="http://schemas.microsoft.com/office/drawing/2014/main" id="{01F5D9C3-2E8D-45B4-9771-F0FE64117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388620</xdr:colOff>
      <xdr:row>3</xdr:row>
      <xdr:rowOff>7620</xdr:rowOff>
    </xdr:from>
    <xdr:to>
      <xdr:col>16</xdr:col>
      <xdr:colOff>426720</xdr:colOff>
      <xdr:row>13</xdr:row>
      <xdr:rowOff>83820</xdr:rowOff>
    </xdr:to>
    <xdr:graphicFrame macro="">
      <xdr:nvGraphicFramePr>
        <xdr:cNvPr id="4" name="Chart 3">
          <a:extLst>
            <a:ext uri="{FF2B5EF4-FFF2-40B4-BE49-F238E27FC236}">
              <a16:creationId xmlns:a16="http://schemas.microsoft.com/office/drawing/2014/main" id="{AE223DFC-7C0A-4980-AF26-4914B36C7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15</xdr:row>
      <xdr:rowOff>137160</xdr:rowOff>
    </xdr:from>
    <xdr:to>
      <xdr:col>6</xdr:col>
      <xdr:colOff>182880</xdr:colOff>
      <xdr:row>27</xdr:row>
      <xdr:rowOff>167640</xdr:rowOff>
    </xdr:to>
    <xdr:graphicFrame macro="">
      <xdr:nvGraphicFramePr>
        <xdr:cNvPr id="5" name="Chart 4">
          <a:extLst>
            <a:ext uri="{FF2B5EF4-FFF2-40B4-BE49-F238E27FC236}">
              <a16:creationId xmlns:a16="http://schemas.microsoft.com/office/drawing/2014/main" id="{6AB67663-08A0-4FC7-BB3F-A93E76327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381000</xdr:colOff>
      <xdr:row>15</xdr:row>
      <xdr:rowOff>121920</xdr:rowOff>
    </xdr:from>
    <xdr:to>
      <xdr:col>11</xdr:col>
      <xdr:colOff>327660</xdr:colOff>
      <xdr:row>27</xdr:row>
      <xdr:rowOff>152400</xdr:rowOff>
    </xdr:to>
    <xdr:graphicFrame macro="">
      <xdr:nvGraphicFramePr>
        <xdr:cNvPr id="6" name="Chart 5">
          <a:extLst>
            <a:ext uri="{FF2B5EF4-FFF2-40B4-BE49-F238E27FC236}">
              <a16:creationId xmlns:a16="http://schemas.microsoft.com/office/drawing/2014/main" id="{E838A8A1-9979-43B2-917F-3D89337F42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434340</xdr:colOff>
      <xdr:row>15</xdr:row>
      <xdr:rowOff>99060</xdr:rowOff>
    </xdr:from>
    <xdr:to>
      <xdr:col>16</xdr:col>
      <xdr:colOff>457200</xdr:colOff>
      <xdr:row>27</xdr:row>
      <xdr:rowOff>68580</xdr:rowOff>
    </xdr:to>
    <xdr:graphicFrame macro="">
      <xdr:nvGraphicFramePr>
        <xdr:cNvPr id="7" name="Chart 6">
          <a:extLst>
            <a:ext uri="{FF2B5EF4-FFF2-40B4-BE49-F238E27FC236}">
              <a16:creationId xmlns:a16="http://schemas.microsoft.com/office/drawing/2014/main" id="{45521BBD-374B-48BB-A9CA-86E5668EF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525780</xdr:colOff>
      <xdr:row>3</xdr:row>
      <xdr:rowOff>22861</xdr:rowOff>
    </xdr:from>
    <xdr:to>
      <xdr:col>20</xdr:col>
      <xdr:colOff>15240</xdr:colOff>
      <xdr:row>9</xdr:row>
      <xdr:rowOff>60960</xdr:rowOff>
    </xdr:to>
    <mc:AlternateContent xmlns:mc="http://schemas.openxmlformats.org/markup-compatibility/2006" xmlns:a14="http://schemas.microsoft.com/office/drawing/2010/main">
      <mc:Choice Requires="a14">
        <xdr:graphicFrame macro="">
          <xdr:nvGraphicFramePr>
            <xdr:cNvPr id="8" name="Day">
              <a:extLst>
                <a:ext uri="{FF2B5EF4-FFF2-40B4-BE49-F238E27FC236}">
                  <a16:creationId xmlns:a16="http://schemas.microsoft.com/office/drawing/2014/main" id="{C55E5291-8534-6E2A-7464-F4D46C6875A9}"/>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279380" y="990601"/>
              <a:ext cx="192786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495300</xdr:colOff>
      <xdr:row>9</xdr:row>
      <xdr:rowOff>121921</xdr:rowOff>
    </xdr:from>
    <xdr:to>
      <xdr:col>20</xdr:col>
      <xdr:colOff>91440</xdr:colOff>
      <xdr:row>20</xdr:row>
      <xdr:rowOff>160021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B82CD84D-5172-83D4-8F74-2D24E0D5D2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248900" y="2186941"/>
              <a:ext cx="203454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502920</xdr:colOff>
      <xdr:row>21</xdr:row>
      <xdr:rowOff>53341</xdr:rowOff>
    </xdr:from>
    <xdr:to>
      <xdr:col>20</xdr:col>
      <xdr:colOff>91440</xdr:colOff>
      <xdr:row>27</xdr:row>
      <xdr:rowOff>76200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BA82A5D6-7D49-C2BF-3D01-FE062D9399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256520" y="4312921"/>
              <a:ext cx="202692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a Sawant" refreshedDate="46302.741962384258" createdVersion="8" refreshedVersion="8" minRefreshableVersion="3" recordCount="523" xr:uid="{CD2DB0A2-B0F7-4041-B49F-37F894BFABB1}">
  <cacheSource type="worksheet">
    <worksheetSource name="Table1"/>
  </cacheSource>
  <cacheFields count="10">
    <cacheField name="Date" numFmtId="14">
      <sharedItems containsSemiMixedTypes="0" containsNonDate="0" containsDate="1" containsString="0" minDate="2012-05-01T00:00:00" maxDate="2014-05-31T00:00:00"/>
    </cacheField>
    <cacheField name="Open" numFmtId="0">
      <sharedItems containsSemiMixedTypes="0" containsString="0" containsNumber="1" minValue="10.369999885559" maxValue="20.399999618530199"/>
    </cacheField>
    <cacheField name="High" numFmtId="0">
      <sharedItems containsSemiMixedTypes="0" containsString="0" containsNumber="1" minValue="10.561499595641999" maxValue="20.402999877929599"/>
    </cacheField>
    <cacheField name="Low" numFmtId="0">
      <sharedItems containsSemiMixedTypes="0" containsString="0" containsNumber="1" minValue="10.318499565124499" maxValue="20.100000381469702"/>
    </cacheField>
    <cacheField name="Close" numFmtId="0">
      <sharedItems containsSemiMixedTypes="0" containsString="0" containsNumber="1" minValue="10.41100025177" maxValue="20.352500915527301"/>
    </cacheField>
    <cacheField name="Adj_Close" numFmtId="0">
      <sharedItems containsSemiMixedTypes="0" containsString="0" containsNumber="1" minValue="10.41100025177" maxValue="20.352500915527301"/>
    </cacheField>
    <cacheField name="Volume" numFmtId="0">
      <sharedItems containsSemiMixedTypes="0" containsString="0" containsNumber="1" containsInteger="1" minValue="19688000" maxValue="323604000"/>
    </cacheField>
    <cacheField name="Day" numFmtId="0">
      <sharedItems count="5">
        <s v="Tuesday"/>
        <s v="Wednesday"/>
        <s v="Thursday"/>
        <s v="Friday"/>
        <s v="Monday"/>
      </sharedItems>
    </cacheField>
    <cacheField name="Month" numFmtId="0">
      <sharedItems count="12">
        <s v="May"/>
        <s v="June"/>
        <s v="July"/>
        <s v="August"/>
        <s v="September"/>
        <s v="October"/>
        <s v="November"/>
        <s v="December"/>
        <s v="January"/>
        <s v="February"/>
        <s v="March"/>
        <s v="April"/>
      </sharedItems>
    </cacheField>
    <cacheField name="Year" numFmtId="0">
      <sharedItems count="3">
        <s v="2012"/>
        <s v="2013"/>
        <s v="2014"/>
      </sharedItems>
    </cacheField>
  </cacheFields>
  <extLst>
    <ext xmlns:x14="http://schemas.microsoft.com/office/spreadsheetml/2009/9/main" uri="{725AE2AE-9491-48be-B2B4-4EB974FC3084}">
      <x14:pivotCacheDefinition pivotCacheId="825221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3">
  <r>
    <d v="2012-05-01T00:00:00"/>
    <n v="11.4700002670288"/>
    <n v="11.648500442504799"/>
    <n v="11.420000076293899"/>
    <n v="11.5019998550415"/>
    <n v="11.5019998550415"/>
    <n v="135098000"/>
    <x v="0"/>
    <x v="0"/>
    <x v="0"/>
  </r>
  <r>
    <d v="2012-05-02T00:00:00"/>
    <n v="11.3909997940063"/>
    <n v="11.5719995498657"/>
    <n v="11.369999885559"/>
    <n v="11.512499809265099"/>
    <n v="11.512499809265099"/>
    <n v="91868000"/>
    <x v="1"/>
    <x v="0"/>
    <x v="0"/>
  </r>
  <r>
    <d v="2012-05-03T00:00:00"/>
    <n v="11.487000465393001"/>
    <n v="11.6265001296997"/>
    <n v="11.401499748229901"/>
    <n v="11.4724998474121"/>
    <n v="11.4724998474121"/>
    <n v="81110000"/>
    <x v="2"/>
    <x v="0"/>
    <x v="0"/>
  </r>
  <r>
    <d v="2012-05-04T00:00:00"/>
    <n v="11.390000343322701"/>
    <n v="11.486000061035099"/>
    <n v="11.1870002746582"/>
    <n v="11.199500083923301"/>
    <n v="11.199500083923301"/>
    <n v="91704000"/>
    <x v="3"/>
    <x v="0"/>
    <x v="0"/>
  </r>
  <r>
    <d v="2012-05-07T00:00:00"/>
    <n v="11.1180000305175"/>
    <n v="11.3435001373291"/>
    <n v="11.1145000457763"/>
    <n v="11.2580003738403"/>
    <n v="11.2580003738403"/>
    <n v="66286000"/>
    <x v="4"/>
    <x v="0"/>
    <x v="0"/>
  </r>
  <r>
    <d v="2012-05-08T00:00:00"/>
    <n v="11.1575002670288"/>
    <n v="11.2694997787475"/>
    <n v="10.9099998474121"/>
    <n v="11.194999694824199"/>
    <n v="11.194999694824199"/>
    <n v="90448000"/>
    <x v="0"/>
    <x v="0"/>
    <x v="0"/>
  </r>
  <r>
    <d v="2012-05-09T00:00:00"/>
    <n v="11.0295000076293"/>
    <n v="11.288999557495099"/>
    <n v="11.0080003738403"/>
    <n v="11.1490001678466"/>
    <n v="11.1490001678466"/>
    <n v="74240000"/>
    <x v="1"/>
    <x v="0"/>
    <x v="0"/>
  </r>
  <r>
    <d v="2012-05-10T00:00:00"/>
    <n v="11.1955003738403"/>
    <n v="11.454000473022401"/>
    <n v="11.0974998474121"/>
    <n v="11.334500312805099"/>
    <n v="11.334500312805099"/>
    <n v="92968000"/>
    <x v="2"/>
    <x v="0"/>
    <x v="0"/>
  </r>
  <r>
    <d v="2012-05-11T00:00:00"/>
    <n v="11.2974996566772"/>
    <n v="11.5340003967285"/>
    <n v="11.2864999771118"/>
    <n v="11.383999824523899"/>
    <n v="11.383999824523899"/>
    <n v="83872000"/>
    <x v="3"/>
    <x v="0"/>
    <x v="0"/>
  </r>
  <r>
    <d v="2012-05-14T00:00:00"/>
    <n v="11.279999732971101"/>
    <n v="11.3645000457763"/>
    <n v="11.125499725341699"/>
    <n v="11.146499633789"/>
    <n v="11.146499633789"/>
    <n v="61932000"/>
    <x v="4"/>
    <x v="0"/>
    <x v="0"/>
  </r>
  <r>
    <d v="2012-05-15T00:00:00"/>
    <n v="11.324999809265099"/>
    <n v="11.530500411987299"/>
    <n v="11.149999618530201"/>
    <n v="11.219499588012599"/>
    <n v="11.219499588012599"/>
    <n v="114274000"/>
    <x v="0"/>
    <x v="0"/>
    <x v="0"/>
  </r>
  <r>
    <d v="2012-05-16T00:00:00"/>
    <n v="11.25"/>
    <n v="11.399999618530201"/>
    <n v="11.125"/>
    <n v="11.203000068664499"/>
    <n v="11.203000068664499"/>
    <n v="105236000"/>
    <x v="1"/>
    <x v="0"/>
    <x v="0"/>
  </r>
  <r>
    <d v="2012-05-17T00:00:00"/>
    <n v="11.252499580383301"/>
    <n v="11.300000190734799"/>
    <n v="10.9045000076293"/>
    <n v="10.918000221252401"/>
    <n v="10.918000221252401"/>
    <n v="90110000"/>
    <x v="2"/>
    <x v="0"/>
    <x v="0"/>
  </r>
  <r>
    <d v="2012-05-18T00:00:00"/>
    <n v="10.9704999923706"/>
    <n v="10.981499671936"/>
    <n v="10.640500068664499"/>
    <n v="10.6925001144409"/>
    <n v="10.6925001144409"/>
    <n v="104634000"/>
    <x v="3"/>
    <x v="0"/>
    <x v="0"/>
  </r>
  <r>
    <d v="2012-05-21T00:00:00"/>
    <n v="10.701499938964799"/>
    <n v="10.998999595641999"/>
    <n v="10.6409997940063"/>
    <n v="10.905500411987299"/>
    <n v="10.905500411987299"/>
    <n v="71596000"/>
    <x v="4"/>
    <x v="0"/>
    <x v="0"/>
  </r>
  <r>
    <d v="2012-05-22T00:00:00"/>
    <n v="10.915499687194799"/>
    <n v="10.943499565124499"/>
    <n v="10.697999954223601"/>
    <n v="10.766500473022401"/>
    <n v="10.766500473022401"/>
    <n v="74662000"/>
    <x v="0"/>
    <x v="0"/>
    <x v="0"/>
  </r>
  <r>
    <d v="2012-05-23T00:00:00"/>
    <n v="10.735500335693301"/>
    <n v="10.877499580383301"/>
    <n v="10.5590000152587"/>
    <n v="10.864000320434499"/>
    <n v="10.864000320434499"/>
    <n v="84876000"/>
    <x v="1"/>
    <x v="0"/>
    <x v="0"/>
  </r>
  <r>
    <d v="2012-05-24T00:00:00"/>
    <n v="10.8489999771118"/>
    <n v="10.8830003738403"/>
    <n v="10.6350002288818"/>
    <n v="10.762000083923301"/>
    <n v="10.762000083923301"/>
    <n v="62822000"/>
    <x v="2"/>
    <x v="0"/>
    <x v="0"/>
  </r>
  <r>
    <d v="2012-05-25T00:00:00"/>
    <n v="10.7495002746582"/>
    <n v="10.7989997863769"/>
    <n v="10.611000061035099"/>
    <n v="10.6444997787475"/>
    <n v="10.6444997787475"/>
    <n v="43428000"/>
    <x v="3"/>
    <x v="0"/>
    <x v="0"/>
  </r>
  <r>
    <d v="2012-05-29T00:00:00"/>
    <n v="10.7150001525878"/>
    <n v="10.827500343322701"/>
    <n v="10.6145000457763"/>
    <n v="10.737500190734799"/>
    <n v="10.737500190734799"/>
    <n v="53878000"/>
    <x v="0"/>
    <x v="0"/>
    <x v="0"/>
  </r>
  <r>
    <d v="2012-05-30T00:00:00"/>
    <n v="10.6070003509521"/>
    <n v="10.6490001678466"/>
    <n v="10.387499809265099"/>
    <n v="10.4615001678466"/>
    <n v="10.4615001678466"/>
    <n v="81564000"/>
    <x v="1"/>
    <x v="0"/>
    <x v="0"/>
  </r>
  <r>
    <d v="2012-05-31T00:00:00"/>
    <n v="10.4739999771118"/>
    <n v="10.6894998550415"/>
    <n v="10.355500221252401"/>
    <n v="10.645500183105399"/>
    <n v="10.645500183105399"/>
    <n v="98880000"/>
    <x v="2"/>
    <x v="0"/>
    <x v="0"/>
  </r>
  <r>
    <d v="2012-06-01T00:00:00"/>
    <n v="10.421999931335399"/>
    <n v="10.561499595641999"/>
    <n v="10.3649997711181"/>
    <n v="10.41100025177"/>
    <n v="10.41100025177"/>
    <n v="79030000"/>
    <x v="3"/>
    <x v="1"/>
    <x v="0"/>
  </r>
  <r>
    <d v="2012-06-04T00:00:00"/>
    <n v="10.369999885559"/>
    <n v="10.767499923706"/>
    <n v="10.318499565124499"/>
    <n v="10.7285003662109"/>
    <n v="10.7285003662109"/>
    <n v="85992000"/>
    <x v="4"/>
    <x v="1"/>
    <x v="0"/>
  </r>
  <r>
    <d v="2012-06-05T00:00:00"/>
    <n v="10.6925001144409"/>
    <n v="10.843000411987299"/>
    <n v="10.557999610900801"/>
    <n v="10.660499572753899"/>
    <n v="10.660499572753899"/>
    <n v="70878000"/>
    <x v="0"/>
    <x v="1"/>
    <x v="0"/>
  </r>
  <r>
    <d v="2012-06-06T00:00:00"/>
    <n v="10.731499671936"/>
    <n v="10.920000076293899"/>
    <n v="10.725999832153301"/>
    <n v="10.881999969482401"/>
    <n v="10.881999969482401"/>
    <n v="54202000"/>
    <x v="1"/>
    <x v="1"/>
    <x v="0"/>
  </r>
  <r>
    <d v="2012-06-07T00:00:00"/>
    <n v="10.982500076293899"/>
    <n v="11.074500083923301"/>
    <n v="10.905500411987299"/>
    <n v="10.939999580383301"/>
    <n v="10.939999580383301"/>
    <n v="70078000"/>
    <x v="2"/>
    <x v="1"/>
    <x v="0"/>
  </r>
  <r>
    <d v="2012-06-08T00:00:00"/>
    <n v="10.9305000305175"/>
    <n v="10.970999717712401"/>
    <n v="10.833000183105399"/>
    <n v="10.9239997863769"/>
    <n v="10.9239997863769"/>
    <n v="57540000"/>
    <x v="3"/>
    <x v="1"/>
    <x v="0"/>
  </r>
  <r>
    <d v="2012-06-11T00:00:00"/>
    <n v="10.8745002746582"/>
    <n v="11.043499946594199"/>
    <n v="10.7600002288818"/>
    <n v="10.824999809265099"/>
    <n v="10.824999809265099"/>
    <n v="74982000"/>
    <x v="4"/>
    <x v="1"/>
    <x v="0"/>
  </r>
  <r>
    <d v="2012-06-12T00:00:00"/>
    <n v="10.882499694824199"/>
    <n v="10.899999618530201"/>
    <n v="10.725999832153301"/>
    <n v="10.8210000991821"/>
    <n v="10.8210000991821"/>
    <n v="56666000"/>
    <x v="0"/>
    <x v="1"/>
    <x v="0"/>
  </r>
  <r>
    <d v="2012-06-13T00:00:00"/>
    <n v="10.7760000228881"/>
    <n v="10.869000434875399"/>
    <n v="10.6759996414184"/>
    <n v="10.7364997863769"/>
    <n v="10.7364997863769"/>
    <n v="46504000"/>
    <x v="1"/>
    <x v="1"/>
    <x v="0"/>
  </r>
  <r>
    <d v="2012-06-14T00:00:00"/>
    <n v="10.7629995346069"/>
    <n v="10.824999809265099"/>
    <n v="10.6280002593994"/>
    <n v="10.7224998474121"/>
    <n v="10.7224998474121"/>
    <n v="61218000"/>
    <x v="2"/>
    <x v="1"/>
    <x v="0"/>
  </r>
  <r>
    <d v="2012-06-15T00:00:00"/>
    <n v="10.7644996643066"/>
    <n v="10.9665002822875"/>
    <n v="10.722999572753899"/>
    <n v="10.9174995422363"/>
    <n v="10.9174995422363"/>
    <n v="75704000"/>
    <x v="3"/>
    <x v="1"/>
    <x v="0"/>
  </r>
  <r>
    <d v="2012-06-18T00:00:00"/>
    <n v="10.864000320434499"/>
    <n v="11.187999725341699"/>
    <n v="10.8365001678466"/>
    <n v="11.1330003738403"/>
    <n v="11.1330003738403"/>
    <n v="67392000"/>
    <x v="4"/>
    <x v="1"/>
    <x v="0"/>
  </r>
  <r>
    <d v="2012-06-19T00:00:00"/>
    <n v="11.1630001068115"/>
    <n v="11.2600002288818"/>
    <n v="11.083000183105399"/>
    <n v="11.201499938964799"/>
    <n v="11.201499938964799"/>
    <n v="54332000"/>
    <x v="0"/>
    <x v="1"/>
    <x v="0"/>
  </r>
  <r>
    <d v="2012-06-20T00:00:00"/>
    <n v="11.2255001068115"/>
    <n v="11.237000465393001"/>
    <n v="11.041999816894499"/>
    <n v="11.1510000228881"/>
    <n v="11.1510000228881"/>
    <n v="48888000"/>
    <x v="1"/>
    <x v="1"/>
    <x v="0"/>
  </r>
  <r>
    <d v="2012-06-21T00:00:00"/>
    <n v="11.1920003890991"/>
    <n v="11.301500320434499"/>
    <n v="11.0260000228881"/>
    <n v="11.028499603271401"/>
    <n v="11.028499603271401"/>
    <n v="56860000"/>
    <x v="2"/>
    <x v="1"/>
    <x v="0"/>
  </r>
  <r>
    <d v="2012-06-22T00:00:00"/>
    <n v="11.0915002822875"/>
    <n v="11.125499725341699"/>
    <n v="10.967499732971101"/>
    <n v="11.1079998016357"/>
    <n v="11.1079998016357"/>
    <n v="43750000"/>
    <x v="3"/>
    <x v="1"/>
    <x v="0"/>
  </r>
  <r>
    <d v="2012-06-25T00:00:00"/>
    <n v="11.015000343322701"/>
    <n v="11.079500198364199"/>
    <n v="10.899999618530201"/>
    <n v="11.0034999847412"/>
    <n v="11.0034999847412"/>
    <n v="47646000"/>
    <x v="4"/>
    <x v="1"/>
    <x v="0"/>
  </r>
  <r>
    <d v="2012-06-26T00:00:00"/>
    <n v="11.0725002288818"/>
    <n v="11.319499969482401"/>
    <n v="11.0725002288818"/>
    <n v="11.280500411987299"/>
    <n v="11.280500411987299"/>
    <n v="75082000"/>
    <x v="0"/>
    <x v="1"/>
    <x v="0"/>
  </r>
  <r>
    <d v="2012-06-27T00:00:00"/>
    <n v="11.250499725341699"/>
    <n v="11.375"/>
    <n v="11.164999961853001"/>
    <n v="11.2810001373291"/>
    <n v="11.2810001373291"/>
    <n v="55984000"/>
    <x v="1"/>
    <x v="1"/>
    <x v="0"/>
  </r>
  <r>
    <d v="2012-06-28T00:00:00"/>
    <n v="11.1960000991821"/>
    <n v="11.230999946594199"/>
    <n v="10.9375"/>
    <n v="11.0655002593994"/>
    <n v="11.0655002593994"/>
    <n v="59896000"/>
    <x v="2"/>
    <x v="1"/>
    <x v="0"/>
  </r>
  <r>
    <d v="2012-06-29T00:00:00"/>
    <n v="11.2349996566772"/>
    <n v="11.4174995422363"/>
    <n v="11.1855001449584"/>
    <n v="11.4174995422363"/>
    <n v="11.4174995422363"/>
    <n v="72288000"/>
    <x v="3"/>
    <x v="1"/>
    <x v="0"/>
  </r>
  <r>
    <d v="2012-07-02T00:00:00"/>
    <n v="11.4650001525878"/>
    <n v="11.4670000076293"/>
    <n v="11.3170003890991"/>
    <n v="11.465999603271401"/>
    <n v="11.465999603271401"/>
    <n v="46614000"/>
    <x v="4"/>
    <x v="2"/>
    <x v="0"/>
  </r>
  <r>
    <d v="2012-07-03T00:00:00"/>
    <n v="11.4569997787475"/>
    <n v="11.476499557495099"/>
    <n v="11.3795003890991"/>
    <n v="11.476499557495099"/>
    <n v="11.476499557495099"/>
    <n v="26634000"/>
    <x v="0"/>
    <x v="2"/>
    <x v="0"/>
  </r>
  <r>
    <d v="2012-07-05T00:00:00"/>
    <n v="11.4309997558593"/>
    <n v="11.524999618530201"/>
    <n v="11.326499938964799"/>
    <n v="11.352999687194799"/>
    <n v="11.352999687194799"/>
    <n v="53646000"/>
    <x v="2"/>
    <x v="2"/>
    <x v="0"/>
  </r>
  <r>
    <d v="2012-07-06T00:00:00"/>
    <n v="11.3175001144409"/>
    <n v="11.444999694824199"/>
    <n v="11.208999633789"/>
    <n v="11.252499580383301"/>
    <n v="11.252499580383301"/>
    <n v="64064000"/>
    <x v="3"/>
    <x v="2"/>
    <x v="0"/>
  </r>
  <r>
    <d v="2012-07-09T00:00:00"/>
    <n v="11.25"/>
    <n v="11.300000190734799"/>
    <n v="11.1724996566772"/>
    <n v="11.252499580383301"/>
    <n v="11.252499580383301"/>
    <n v="38440000"/>
    <x v="4"/>
    <x v="2"/>
    <x v="0"/>
  </r>
  <r>
    <d v="2012-07-10T00:00:00"/>
    <n v="11.3125"/>
    <n v="11.3570003509521"/>
    <n v="10.913999557495099"/>
    <n v="10.9750003814697"/>
    <n v="10.9750003814697"/>
    <n v="59642000"/>
    <x v="0"/>
    <x v="2"/>
    <x v="0"/>
  </r>
  <r>
    <d v="2012-07-11T00:00:00"/>
    <n v="10.9475002288818"/>
    <n v="11.0869998931884"/>
    <n v="10.767000198364199"/>
    <n v="10.918499946594199"/>
    <n v="10.918499946594199"/>
    <n v="54694000"/>
    <x v="1"/>
    <x v="2"/>
    <x v="0"/>
  </r>
  <r>
    <d v="2012-07-12T00:00:00"/>
    <n v="10.8304996490478"/>
    <n v="10.8649997711181"/>
    <n v="10.630499839782701"/>
    <n v="10.7679996490478"/>
    <n v="10.7679996490478"/>
    <n v="52324000"/>
    <x v="2"/>
    <x v="2"/>
    <x v="0"/>
  </r>
  <r>
    <d v="2012-07-13T00:00:00"/>
    <n v="10.781499862670801"/>
    <n v="10.9654998779296"/>
    <n v="10.6940002441406"/>
    <n v="10.9195003509521"/>
    <n v="10.9195003509521"/>
    <n v="44438000"/>
    <x v="3"/>
    <x v="2"/>
    <x v="0"/>
  </r>
  <r>
    <d v="2012-07-16T00:00:00"/>
    <n v="10.829999923706"/>
    <n v="10.915499687194799"/>
    <n v="10.722999572753899"/>
    <n v="10.8004999160766"/>
    <n v="10.8004999160766"/>
    <n v="40084000"/>
    <x v="4"/>
    <x v="2"/>
    <x v="0"/>
  </r>
  <r>
    <d v="2012-07-17T00:00:00"/>
    <n v="10.872500419616699"/>
    <n v="10.897000312805099"/>
    <n v="10.697999954223601"/>
    <n v="10.8465003967285"/>
    <n v="10.8465003967285"/>
    <n v="39740000"/>
    <x v="0"/>
    <x v="2"/>
    <x v="0"/>
  </r>
  <r>
    <d v="2012-07-18T00:00:00"/>
    <n v="10.807499885559"/>
    <n v="10.9335002899169"/>
    <n v="10.785499572753899"/>
    <n v="10.873499870300201"/>
    <n v="10.873499870300201"/>
    <n v="41860000"/>
    <x v="1"/>
    <x v="2"/>
    <x v="0"/>
  </r>
  <r>
    <d v="2012-07-19T00:00:00"/>
    <n v="11.0364999771118"/>
    <n v="11.375"/>
    <n v="11.0345001220703"/>
    <n v="11.3085002899169"/>
    <n v="11.3085002899169"/>
    <n v="108988000"/>
    <x v="2"/>
    <x v="2"/>
    <x v="0"/>
  </r>
  <r>
    <d v="2012-07-20T00:00:00"/>
    <n v="11.2679996490478"/>
    <n v="11.469499588012599"/>
    <n v="11.2644996643066"/>
    <n v="11.4145002365112"/>
    <n v="11.4145002365112"/>
    <n v="83400000"/>
    <x v="3"/>
    <x v="2"/>
    <x v="0"/>
  </r>
  <r>
    <d v="2012-07-23T00:00:00"/>
    <n v="11.236000061035099"/>
    <n v="11.329000473022401"/>
    <n v="11.0769996643066"/>
    <n v="11.3004999160766"/>
    <n v="11.3004999160766"/>
    <n v="110302000"/>
    <x v="4"/>
    <x v="2"/>
    <x v="0"/>
  </r>
  <r>
    <d v="2012-07-24T00:00:00"/>
    <n v="11.313500404357899"/>
    <n v="11.3304996490478"/>
    <n v="11.061499595641999"/>
    <n v="11.152000427246"/>
    <n v="11.152000427246"/>
    <n v="100174000"/>
    <x v="0"/>
    <x v="2"/>
    <x v="0"/>
  </r>
  <r>
    <d v="2012-07-25T00:00:00"/>
    <n v="11.1000003814697"/>
    <n v="11.125"/>
    <n v="10.7954998016357"/>
    <n v="10.852499961853001"/>
    <n v="10.852499961853001"/>
    <n v="72934000"/>
    <x v="1"/>
    <x v="2"/>
    <x v="0"/>
  </r>
  <r>
    <d v="2012-07-26T00:00:00"/>
    <n v="11"/>
    <n v="11.0725002288818"/>
    <n v="10.747500419616699"/>
    <n v="11.000499725341699"/>
    <n v="11.000499725341699"/>
    <n v="138748000"/>
    <x v="2"/>
    <x v="2"/>
    <x v="0"/>
  </r>
  <r>
    <d v="2012-07-27T00:00:00"/>
    <n v="11.262499809265099"/>
    <n v="11.916999816894499"/>
    <n v="11.2250003814697"/>
    <n v="11.866000175476"/>
    <n v="11.866000175476"/>
    <n v="226278000"/>
    <x v="3"/>
    <x v="2"/>
    <x v="0"/>
  </r>
  <r>
    <d v="2012-07-30T00:00:00"/>
    <n v="11.8500003814697"/>
    <n v="12.036999702453601"/>
    <n v="11.7034997940063"/>
    <n v="11.8044996261596"/>
    <n v="11.8044996261596"/>
    <n v="74728000"/>
    <x v="4"/>
    <x v="2"/>
    <x v="0"/>
  </r>
  <r>
    <d v="2012-07-31T00:00:00"/>
    <n v="11.7550001144409"/>
    <n v="11.814999580383301"/>
    <n v="11.5804996490478"/>
    <n v="11.664999961853001"/>
    <n v="11.664999961853001"/>
    <n v="69072000"/>
    <x v="0"/>
    <x v="2"/>
    <x v="0"/>
  </r>
  <r>
    <d v="2012-08-01T00:00:00"/>
    <n v="11.7069997787475"/>
    <n v="11.718999862670801"/>
    <n v="11.5349998474121"/>
    <n v="11.604499816894499"/>
    <n v="11.604499816894499"/>
    <n v="50876000"/>
    <x v="1"/>
    <x v="3"/>
    <x v="0"/>
  </r>
  <r>
    <d v="2012-08-02T00:00:00"/>
    <n v="11.5279998779296"/>
    <n v="11.7170000076293"/>
    <n v="11.432999610900801"/>
    <n v="11.540499687194799"/>
    <n v="11.540499687194799"/>
    <n v="60962000"/>
    <x v="2"/>
    <x v="3"/>
    <x v="0"/>
  </r>
  <r>
    <d v="2012-08-03T00:00:00"/>
    <n v="11.701499938964799"/>
    <n v="11.824500083923301"/>
    <n v="11.651499748229901"/>
    <n v="11.748499870300201"/>
    <n v="11.748499870300201"/>
    <n v="56506000"/>
    <x v="3"/>
    <x v="3"/>
    <x v="0"/>
  </r>
  <r>
    <d v="2012-08-06T00:00:00"/>
    <n v="11.7779998779296"/>
    <n v="11.786999702453601"/>
    <n v="11.6905002593994"/>
    <n v="11.699500083923301"/>
    <n v="11.699500083923301"/>
    <n v="36874000"/>
    <x v="4"/>
    <x v="3"/>
    <x v="0"/>
  </r>
  <r>
    <d v="2012-08-07T00:00:00"/>
    <n v="11.7065000534057"/>
    <n v="11.899999618530201"/>
    <n v="11.6625003814697"/>
    <n v="11.828000068664499"/>
    <n v="11.828000068664499"/>
    <n v="41166000"/>
    <x v="0"/>
    <x v="3"/>
    <x v="0"/>
  </r>
  <r>
    <d v="2012-08-08T00:00:00"/>
    <n v="11.7644996643066"/>
    <n v="11.8225002288818"/>
    <n v="11.6794996261596"/>
    <n v="11.718999862670801"/>
    <n v="11.718999862670801"/>
    <n v="30686000"/>
    <x v="1"/>
    <x v="3"/>
    <x v="0"/>
  </r>
  <r>
    <d v="2012-08-09T00:00:00"/>
    <n v="11.696499824523899"/>
    <n v="11.799500465393001"/>
    <n v="11.675000190734799"/>
    <n v="11.703000068664499"/>
    <n v="11.703000068664499"/>
    <n v="30962000"/>
    <x v="2"/>
    <x v="3"/>
    <x v="0"/>
  </r>
  <r>
    <d v="2012-08-10T00:00:00"/>
    <n v="11.6540002822875"/>
    <n v="11.7425003051757"/>
    <n v="11.571499824523899"/>
    <n v="11.637499809265099"/>
    <n v="11.637499809265099"/>
    <n v="37050000"/>
    <x v="3"/>
    <x v="3"/>
    <x v="0"/>
  </r>
  <r>
    <d v="2012-08-13T00:00:00"/>
    <n v="11.6114997863769"/>
    <n v="11.7185001373291"/>
    <n v="11.550000190734799"/>
    <n v="11.621999740600501"/>
    <n v="11.621999740600501"/>
    <n v="39946000"/>
    <x v="4"/>
    <x v="3"/>
    <x v="0"/>
  </r>
  <r>
    <d v="2012-08-14T00:00:00"/>
    <n v="11.735500335693301"/>
    <n v="11.836000442504799"/>
    <n v="11.630999565124499"/>
    <n v="11.6595001220703"/>
    <n v="11.6595001220703"/>
    <n v="55020000"/>
    <x v="0"/>
    <x v="3"/>
    <x v="0"/>
  </r>
  <r>
    <d v="2012-08-15T00:00:00"/>
    <n v="11.6129999160766"/>
    <n v="11.906999588012599"/>
    <n v="11.612500190734799"/>
    <n v="11.8710002899169"/>
    <n v="11.8710002899169"/>
    <n v="65294000"/>
    <x v="1"/>
    <x v="3"/>
    <x v="0"/>
  </r>
  <r>
    <d v="2012-08-16T00:00:00"/>
    <n v="11.885999679565399"/>
    <n v="12.1409997940063"/>
    <n v="11.810000419616699"/>
    <n v="12.077500343322701"/>
    <n v="12.077500343322701"/>
    <n v="86242000"/>
    <x v="2"/>
    <x v="3"/>
    <x v="0"/>
  </r>
  <r>
    <d v="2012-08-17T00:00:00"/>
    <n v="12.029999732971101"/>
    <n v="12.1674995422363"/>
    <n v="12.023500442504799"/>
    <n v="12.0585002899169"/>
    <n v="12.0585002899169"/>
    <n v="61716000"/>
    <x v="3"/>
    <x v="3"/>
    <x v="0"/>
  </r>
  <r>
    <d v="2012-08-20T00:00:00"/>
    <n v="12.068499565124499"/>
    <n v="12.082500457763601"/>
    <n v="11.9099998474121"/>
    <n v="12.017499923706"/>
    <n v="12.017499923706"/>
    <n v="37798000"/>
    <x v="4"/>
    <x v="3"/>
    <x v="0"/>
  </r>
  <r>
    <d v="2012-08-21T00:00:00"/>
    <n v="12.043999671936"/>
    <n v="12.1925001144409"/>
    <n v="11.9274997711181"/>
    <n v="11.9724998474121"/>
    <n v="11.9724998474121"/>
    <n v="51430000"/>
    <x v="0"/>
    <x v="3"/>
    <x v="0"/>
  </r>
  <r>
    <d v="2012-08-22T00:00:00"/>
    <n v="11.9700002670288"/>
    <n v="12.244999885559"/>
    <n v="11.939999580383301"/>
    <n v="12.154999732971101"/>
    <n v="12.154999732971101"/>
    <n v="49474000"/>
    <x v="1"/>
    <x v="3"/>
    <x v="0"/>
  </r>
  <r>
    <d v="2012-08-23T00:00:00"/>
    <n v="12.1070003509521"/>
    <n v="12.1739997863769"/>
    <n v="11.951000213623001"/>
    <n v="12.060000419616699"/>
    <n v="12.060000419616699"/>
    <n v="49078000"/>
    <x v="2"/>
    <x v="3"/>
    <x v="0"/>
  </r>
  <r>
    <d v="2012-08-24T00:00:00"/>
    <n v="12.083999633789"/>
    <n v="12.3435001373291"/>
    <n v="12.067999839782701"/>
    <n v="12.286999702453601"/>
    <n v="12.286999702453601"/>
    <n v="73976000"/>
    <x v="3"/>
    <x v="3"/>
    <x v="0"/>
  </r>
  <r>
    <d v="2012-08-27T00:00:00"/>
    <n v="12.2895002365112"/>
    <n v="12.375"/>
    <n v="12.1560001373291"/>
    <n v="12.1960000991821"/>
    <n v="12.1960000991821"/>
    <n v="58594000"/>
    <x v="4"/>
    <x v="3"/>
    <x v="0"/>
  </r>
  <r>
    <d v="2012-08-28T00:00:00"/>
    <n v="12.198499679565399"/>
    <n v="12.338999748229901"/>
    <n v="12.149999618530201"/>
    <n v="12.3055000305175"/>
    <n v="12.3055000305175"/>
    <n v="54846000"/>
    <x v="0"/>
    <x v="3"/>
    <x v="0"/>
  </r>
  <r>
    <d v="2012-08-29T00:00:00"/>
    <n v="12.338999748229901"/>
    <n v="12.380499839782701"/>
    <n v="12.229499816894499"/>
    <n v="12.355999946594199"/>
    <n v="12.355999946594199"/>
    <n v="35452000"/>
    <x v="1"/>
    <x v="3"/>
    <x v="0"/>
  </r>
  <r>
    <d v="2012-08-30T00:00:00"/>
    <n v="12.349499702453601"/>
    <n v="12.5"/>
    <n v="12.262499809265099"/>
    <n v="12.310999870300201"/>
    <n v="12.310999870300201"/>
    <n v="72950000"/>
    <x v="2"/>
    <x v="3"/>
    <x v="0"/>
  </r>
  <r>
    <d v="2012-08-31T00:00:00"/>
    <n v="12.403499603271401"/>
    <n v="12.4724998474121"/>
    <n v="12.274999618530201"/>
    <n v="12.413499832153301"/>
    <n v="12.413499832153301"/>
    <n v="66950000"/>
    <x v="3"/>
    <x v="3"/>
    <x v="0"/>
  </r>
  <r>
    <d v="2012-09-04T00:00:00"/>
    <n v="12.413499832153301"/>
    <n v="12.550000190734799"/>
    <n v="12.2329998016357"/>
    <n v="12.3940000534057"/>
    <n v="12.3940000534057"/>
    <n v="79016000"/>
    <x v="0"/>
    <x v="4"/>
    <x v="0"/>
  </r>
  <r>
    <d v="2012-09-05T00:00:00"/>
    <n v="12.380499839782701"/>
    <n v="12.4305000305175"/>
    <n v="12.265000343322701"/>
    <n v="12.310999870300201"/>
    <n v="12.310999870300201"/>
    <n v="53052000"/>
    <x v="1"/>
    <x v="4"/>
    <x v="0"/>
  </r>
  <r>
    <d v="2012-09-06T00:00:00"/>
    <n v="12.4114999771118"/>
    <n v="12.6350002288818"/>
    <n v="12.3599996566772"/>
    <n v="12.5690002441406"/>
    <n v="12.5690002441406"/>
    <n v="107228000"/>
    <x v="2"/>
    <x v="4"/>
    <x v="0"/>
  </r>
  <r>
    <d v="2012-09-07T00:00:00"/>
    <n v="12.6925001144409"/>
    <n v="12.970999717712401"/>
    <n v="12.6759996414184"/>
    <n v="12.9569997787475"/>
    <n v="12.9569997787475"/>
    <n v="100590000"/>
    <x v="3"/>
    <x v="4"/>
    <x v="0"/>
  </r>
  <r>
    <d v="2012-09-10T00:00:00"/>
    <n v="12.949999809265099"/>
    <n v="13"/>
    <n v="12.840999603271401"/>
    <n v="12.854499816894499"/>
    <n v="12.854499816894499"/>
    <n v="51344000"/>
    <x v="4"/>
    <x v="4"/>
    <x v="0"/>
  </r>
  <r>
    <d v="2012-09-11T00:00:00"/>
    <n v="12.8800001144409"/>
    <n v="12.8800001144409"/>
    <n v="12.7130002975463"/>
    <n v="12.783499717712401"/>
    <n v="12.783499717712401"/>
    <n v="50496000"/>
    <x v="0"/>
    <x v="4"/>
    <x v="0"/>
  </r>
  <r>
    <d v="2012-09-12T00:00:00"/>
    <n v="12.824999809265099"/>
    <n v="12.888999938964799"/>
    <n v="12.675000190734799"/>
    <n v="12.781499862670801"/>
    <n v="12.781499862670801"/>
    <n v="45464000"/>
    <x v="1"/>
    <x v="4"/>
    <x v="0"/>
  </r>
  <r>
    <d v="2012-09-13T00:00:00"/>
    <n v="12.746999740600501"/>
    <n v="13.1000003814697"/>
    <n v="12.689999580383301"/>
    <n v="13.012000083923301"/>
    <n v="13.012000083923301"/>
    <n v="70512000"/>
    <x v="2"/>
    <x v="4"/>
    <x v="0"/>
  </r>
  <r>
    <d v="2012-09-14T00:00:00"/>
    <n v="13.069999694824199"/>
    <n v="13.2054996490478"/>
    <n v="12.9884996414184"/>
    <n v="13.063500404357899"/>
    <n v="13.063500404357899"/>
    <n v="73324000"/>
    <x v="3"/>
    <x v="4"/>
    <x v="0"/>
  </r>
  <r>
    <d v="2012-09-17T00:00:00"/>
    <n v="13.0625"/>
    <n v="13.0625"/>
    <n v="12.8500003814697"/>
    <n v="12.899999618530201"/>
    <n v="12.899999618530201"/>
    <n v="46126000"/>
    <x v="4"/>
    <x v="4"/>
    <x v="0"/>
  </r>
  <r>
    <d v="2012-09-18T00:00:00"/>
    <n v="12.9239997863769"/>
    <n v="13.024999618530201"/>
    <n v="12.8500003814697"/>
    <n v="12.9375"/>
    <n v="12.9375"/>
    <n v="44300000"/>
    <x v="0"/>
    <x v="4"/>
    <x v="0"/>
  </r>
  <r>
    <d v="2012-09-19T00:00:00"/>
    <n v="12.9724998474121"/>
    <n v="13.142000198364199"/>
    <n v="12.926500320434499"/>
    <n v="13.083999633789"/>
    <n v="13.083999633789"/>
    <n v="52736000"/>
    <x v="1"/>
    <x v="4"/>
    <x v="0"/>
  </r>
  <r>
    <d v="2012-09-20T00:00:00"/>
    <n v="13.0015001296997"/>
    <n v="13.043499946594199"/>
    <n v="12.899999618530201"/>
    <n v="13.040499687194799"/>
    <n v="13.040499687194799"/>
    <n v="58272000"/>
    <x v="2"/>
    <x v="4"/>
    <x v="0"/>
  </r>
  <r>
    <d v="2012-09-21T00:00:00"/>
    <n v="13.0869998931884"/>
    <n v="13.1000003814697"/>
    <n v="12.8369998931884"/>
    <n v="12.873499870300201"/>
    <n v="12.873499870300201"/>
    <n v="121186000"/>
    <x v="3"/>
    <x v="4"/>
    <x v="0"/>
  </r>
  <r>
    <d v="2012-09-24T00:00:00"/>
    <n v="12.760999679565399"/>
    <n v="12.779999732971101"/>
    <n v="12.649999618530201"/>
    <n v="12.7399997711181"/>
    <n v="12.7399997711181"/>
    <n v="54158000"/>
    <x v="4"/>
    <x v="4"/>
    <x v="0"/>
  </r>
  <r>
    <d v="2012-09-25T00:00:00"/>
    <n v="12.816499710083001"/>
    <n v="12.9475002288818"/>
    <n v="12.551500320434499"/>
    <n v="12.6230001449584"/>
    <n v="12.6230001449584"/>
    <n v="88116000"/>
    <x v="0"/>
    <x v="4"/>
    <x v="0"/>
  </r>
  <r>
    <d v="2012-09-26T00:00:00"/>
    <n v="12.619999885559"/>
    <n v="12.730500221252401"/>
    <n v="12.4114999771118"/>
    <n v="12.4834995269775"/>
    <n v="12.4834995269775"/>
    <n v="58410000"/>
    <x v="1"/>
    <x v="4"/>
    <x v="0"/>
  </r>
  <r>
    <d v="2012-09-27T00:00:00"/>
    <n v="12.527000427246"/>
    <n v="12.869999885559"/>
    <n v="12.5260000228881"/>
    <n v="12.829500198364199"/>
    <n v="12.829500198364199"/>
    <n v="67948000"/>
    <x v="2"/>
    <x v="4"/>
    <x v="0"/>
  </r>
  <r>
    <d v="2012-09-28T00:00:00"/>
    <n v="12.8070001602172"/>
    <n v="12.8500003814697"/>
    <n v="12.6599998474121"/>
    <n v="12.715999603271401"/>
    <n v="12.715999603271401"/>
    <n v="49132000"/>
    <x v="3"/>
    <x v="4"/>
    <x v="0"/>
  </r>
  <r>
    <d v="2012-10-01T00:00:00"/>
    <n v="12.770000457763601"/>
    <n v="12.807999610900801"/>
    <n v="12.5244998931884"/>
    <n v="12.6005001068115"/>
    <n v="12.6005001068115"/>
    <n v="51624000"/>
    <x v="4"/>
    <x v="5"/>
    <x v="0"/>
  </r>
  <r>
    <d v="2012-10-02T00:00:00"/>
    <n v="12.640000343322701"/>
    <n v="12.6575002670288"/>
    <n v="12.451499938964799"/>
    <n v="12.529999732971101"/>
    <n v="12.529999732971101"/>
    <n v="43916000"/>
    <x v="0"/>
    <x v="5"/>
    <x v="0"/>
  </r>
  <r>
    <d v="2012-10-03T00:00:00"/>
    <n v="12.5605001449584"/>
    <n v="12.8050003051757"/>
    <n v="12.477999687194799"/>
    <n v="12.7959995269775"/>
    <n v="12.7959995269775"/>
    <n v="54912000"/>
    <x v="1"/>
    <x v="5"/>
    <x v="0"/>
  </r>
  <r>
    <d v="2012-10-04T00:00:00"/>
    <n v="12.8004999160766"/>
    <n v="13.076000213623001"/>
    <n v="12.793499946594199"/>
    <n v="13.023500442504799"/>
    <n v="13.023500442504799"/>
    <n v="54008000"/>
    <x v="2"/>
    <x v="5"/>
    <x v="0"/>
  </r>
  <r>
    <d v="2012-10-05T00:00:00"/>
    <n v="13.060000419616699"/>
    <n v="13.0950002670288"/>
    <n v="12.8745002746582"/>
    <n v="12.9254999160766"/>
    <n v="12.9254999160766"/>
    <n v="56130000"/>
    <x v="3"/>
    <x v="5"/>
    <x v="0"/>
  </r>
  <r>
    <d v="2012-10-08T00:00:00"/>
    <n v="12.8835000991821"/>
    <n v="12.9899997711181"/>
    <n v="12.7779998779296"/>
    <n v="12.953000068664499"/>
    <n v="12.953000068664499"/>
    <n v="35246000"/>
    <x v="4"/>
    <x v="5"/>
    <x v="0"/>
  </r>
  <r>
    <d v="2012-10-09T00:00:00"/>
    <n v="12.9335002899169"/>
    <n v="12.967499732971101"/>
    <n v="12.5364999771118"/>
    <n v="12.548000335693301"/>
    <n v="12.548000335693301"/>
    <n v="69896000"/>
    <x v="0"/>
    <x v="5"/>
    <x v="0"/>
  </r>
  <r>
    <d v="2012-10-10T00:00:00"/>
    <n v="12.6000003814697"/>
    <n v="12.6230001449584"/>
    <n v="12.2004995346069"/>
    <n v="12.2495002746582"/>
    <n v="12.2495002746582"/>
    <n v="78966000"/>
    <x v="1"/>
    <x v="5"/>
    <x v="0"/>
  </r>
  <r>
    <d v="2012-10-11T00:00:00"/>
    <n v="12.399999618530201"/>
    <n v="12.4650001525878"/>
    <n v="12.094499588012599"/>
    <n v="12.211000442504799"/>
    <n v="12.211000442504799"/>
    <n v="68946000"/>
    <x v="2"/>
    <x v="5"/>
    <x v="0"/>
  </r>
  <r>
    <d v="2012-10-12T00:00:00"/>
    <n v="12.1590003967285"/>
    <n v="12.2729997634887"/>
    <n v="12.0954999923706"/>
    <n v="12.1180000305175"/>
    <n v="12.1180000305175"/>
    <n v="44064000"/>
    <x v="3"/>
    <x v="5"/>
    <x v="0"/>
  </r>
  <r>
    <d v="2012-10-15T00:00:00"/>
    <n v="12.142499923706"/>
    <n v="12.239000320434499"/>
    <n v="11.9254999160766"/>
    <n v="12.208999633789"/>
    <n v="12.208999633789"/>
    <n v="59196000"/>
    <x v="4"/>
    <x v="5"/>
    <x v="0"/>
  </r>
  <r>
    <d v="2012-10-16T00:00:00"/>
    <n v="12.2434997558593"/>
    <n v="12.288499832153301"/>
    <n v="12.104000091552701"/>
    <n v="12.1969995498657"/>
    <n v="12.1969995498657"/>
    <n v="44082000"/>
    <x v="0"/>
    <x v="5"/>
    <x v="0"/>
  </r>
  <r>
    <d v="2012-10-17T00:00:00"/>
    <n v="12.168499946594199"/>
    <n v="12.439999580383301"/>
    <n v="12.164999961853001"/>
    <n v="12.3745002746582"/>
    <n v="12.3745002746582"/>
    <n v="66054000"/>
    <x v="1"/>
    <x v="5"/>
    <x v="0"/>
  </r>
  <r>
    <d v="2012-10-18T00:00:00"/>
    <n v="12.388500213623001"/>
    <n v="12.5454998016357"/>
    <n v="12.1350002288818"/>
    <n v="12.2425003051757"/>
    <n v="12.2425003051757"/>
    <n v="106106000"/>
    <x v="2"/>
    <x v="5"/>
    <x v="0"/>
  </r>
  <r>
    <d v="2012-10-19T00:00:00"/>
    <n v="12.2580003738403"/>
    <n v="12.340999603271401"/>
    <n v="11.9469995498657"/>
    <n v="12"/>
    <n v="12"/>
    <n v="87906000"/>
    <x v="3"/>
    <x v="5"/>
    <x v="0"/>
  </r>
  <r>
    <d v="2012-10-22T00:00:00"/>
    <n v="11.9405002593994"/>
    <n v="11.9475002288818"/>
    <n v="11.616000175476"/>
    <n v="11.6890001296997"/>
    <n v="11.6890001296997"/>
    <n v="90000000"/>
    <x v="4"/>
    <x v="5"/>
    <x v="0"/>
  </r>
  <r>
    <d v="2012-10-23T00:00:00"/>
    <n v="11.5524997711181"/>
    <n v="11.824999809265099"/>
    <n v="11.500499725341699"/>
    <n v="11.7154998779296"/>
    <n v="11.7154998779296"/>
    <n v="88616000"/>
    <x v="0"/>
    <x v="5"/>
    <x v="0"/>
  </r>
  <r>
    <d v="2012-10-24T00:00:00"/>
    <n v="11.793999671936"/>
    <n v="11.796999931335399"/>
    <n v="11.3975000381469"/>
    <n v="11.424500465393001"/>
    <n v="11.424500465393001"/>
    <n v="73574000"/>
    <x v="1"/>
    <x v="5"/>
    <x v="0"/>
  </r>
  <r>
    <d v="2012-10-25T00:00:00"/>
    <n v="11.5459995269775"/>
    <n v="11.5459995269775"/>
    <n v="11.1459999084472"/>
    <n v="11.1459999084472"/>
    <n v="11.1459999084472"/>
    <n v="134826000"/>
    <x v="2"/>
    <x v="5"/>
    <x v="0"/>
  </r>
  <r>
    <d v="2012-10-26T00:00:00"/>
    <n v="11.4300003051757"/>
    <n v="11.9355001449584"/>
    <n v="11.334500312805099"/>
    <n v="11.911999702453601"/>
    <n v="11.911999702453601"/>
    <n v="227350000"/>
    <x v="3"/>
    <x v="5"/>
    <x v="0"/>
  </r>
  <r>
    <d v="2012-10-31T00:00:00"/>
    <n v="11.8159999847412"/>
    <n v="11.935000419616699"/>
    <n v="11.524999618530201"/>
    <n v="11.6444997787475"/>
    <n v="11.6444997787475"/>
    <n v="95952000"/>
    <x v="1"/>
    <x v="5"/>
    <x v="0"/>
  </r>
  <r>
    <d v="2012-11-01T00:00:00"/>
    <n v="11.7115001678466"/>
    <n v="11.727499961853001"/>
    <n v="11.5670003890991"/>
    <n v="11.6070003509521"/>
    <n v="11.6070003509521"/>
    <n v="78102000"/>
    <x v="2"/>
    <x v="6"/>
    <x v="0"/>
  </r>
  <r>
    <d v="2012-11-02T00:00:00"/>
    <n v="11.7004995346069"/>
    <n v="11.869999885559"/>
    <n v="11.605500221252401"/>
    <n v="11.6210002899169"/>
    <n v="11.6210002899169"/>
    <n v="67494000"/>
    <x v="3"/>
    <x v="6"/>
    <x v="0"/>
  </r>
  <r>
    <d v="2012-11-05T00:00:00"/>
    <n v="11.6020002365112"/>
    <n v="11.7414999008178"/>
    <n v="11.505499839782701"/>
    <n v="11.7165002822875"/>
    <n v="11.7165002822875"/>
    <n v="36922000"/>
    <x v="4"/>
    <x v="6"/>
    <x v="0"/>
  </r>
  <r>
    <d v="2012-11-06T00:00:00"/>
    <n v="11.770500183105399"/>
    <n v="11.887499809265099"/>
    <n v="11.7224998474121"/>
    <n v="11.8780002593994"/>
    <n v="11.8780002593994"/>
    <n v="53226000"/>
    <x v="0"/>
    <x v="6"/>
    <x v="0"/>
  </r>
  <r>
    <d v="2012-11-07T00:00:00"/>
    <n v="11.7825002670288"/>
    <n v="11.7829999923706"/>
    <n v="11.470999717712401"/>
    <n v="11.602999687194799"/>
    <n v="11.602999687194799"/>
    <n v="72484000"/>
    <x v="1"/>
    <x v="6"/>
    <x v="0"/>
  </r>
  <r>
    <d v="2012-11-08T00:00:00"/>
    <n v="11.611000061035099"/>
    <n v="11.6724996566772"/>
    <n v="11.3549995422363"/>
    <n v="11.3675003051757"/>
    <n v="11.3675003051757"/>
    <n v="59648000"/>
    <x v="2"/>
    <x v="6"/>
    <x v="0"/>
  </r>
  <r>
    <d v="2012-11-09T00:00:00"/>
    <n v="11.312999725341699"/>
    <n v="11.548500061035099"/>
    <n v="11.2299995422363"/>
    <n v="11.3155002593994"/>
    <n v="11.3155002593994"/>
    <n v="61850000"/>
    <x v="3"/>
    <x v="6"/>
    <x v="0"/>
  </r>
  <r>
    <d v="2012-11-12T00:00:00"/>
    <n v="11.329500198364199"/>
    <n v="11.461000442504799"/>
    <n v="11.270500183105399"/>
    <n v="11.323499679565399"/>
    <n v="11.323499679565399"/>
    <n v="42576000"/>
    <x v="4"/>
    <x v="6"/>
    <x v="0"/>
  </r>
  <r>
    <d v="2012-11-13T00:00:00"/>
    <n v="11.255999565124499"/>
    <n v="11.395000457763601"/>
    <n v="11.235500335693301"/>
    <n v="11.329999923706"/>
    <n v="11.329999923706"/>
    <n v="52596000"/>
    <x v="0"/>
    <x v="6"/>
    <x v="0"/>
  </r>
  <r>
    <d v="2012-11-14T00:00:00"/>
    <n v="11.324999809265099"/>
    <n v="11.370499610900801"/>
    <n v="11.125499725341699"/>
    <n v="11.1475000381469"/>
    <n v="11.1475000381469"/>
    <n v="60682000"/>
    <x v="1"/>
    <x v="6"/>
    <x v="0"/>
  </r>
  <r>
    <d v="2012-11-15T00:00:00"/>
    <n v="11.1149997711181"/>
    <n v="11.2580003738403"/>
    <n v="10.9090003967285"/>
    <n v="11.029999732971101"/>
    <n v="11.029999732971101"/>
    <n v="68094000"/>
    <x v="2"/>
    <x v="6"/>
    <x v="0"/>
  </r>
  <r>
    <d v="2012-11-16T00:00:00"/>
    <n v="11.0655002593994"/>
    <n v="11.3125"/>
    <n v="10.9320001602172"/>
    <n v="11.2615003585815"/>
    <n v="11.2615003585815"/>
    <n v="87056000"/>
    <x v="3"/>
    <x v="6"/>
    <x v="0"/>
  </r>
  <r>
    <d v="2012-11-19T00:00:00"/>
    <n v="11.4160003662109"/>
    <n v="11.625"/>
    <n v="11.372500419616699"/>
    <n v="11.485500335693301"/>
    <n v="11.485500335693301"/>
    <n v="71824000"/>
    <x v="4"/>
    <x v="6"/>
    <x v="0"/>
  </r>
  <r>
    <d v="2012-11-20T00:00:00"/>
    <n v="11.5"/>
    <n v="11.6909999847412"/>
    <n v="11.4750003814697"/>
    <n v="11.6890001296997"/>
    <n v="11.6890001296997"/>
    <n v="55434000"/>
    <x v="0"/>
    <x v="6"/>
    <x v="0"/>
  </r>
  <r>
    <d v="2012-11-21T00:00:00"/>
    <n v="11.6920003890991"/>
    <n v="11.9335002899169"/>
    <n v="11.637499809265099"/>
    <n v="11.901499748229901"/>
    <n v="11.901499748229901"/>
    <n v="59186000"/>
    <x v="1"/>
    <x v="6"/>
    <x v="0"/>
  </r>
  <r>
    <d v="2012-11-23T00:00:00"/>
    <n v="11.9945001602172"/>
    <n v="12"/>
    <n v="11.8240003585815"/>
    <n v="11.994000434875399"/>
    <n v="11.994000434875399"/>
    <n v="35536000"/>
    <x v="3"/>
    <x v="6"/>
    <x v="0"/>
  </r>
  <r>
    <d v="2012-11-26T00:00:00"/>
    <n v="12.0194997787475"/>
    <n v="12.215999603271401"/>
    <n v="11.899999618530201"/>
    <n v="12.1809997558593"/>
    <n v="12.1809997558593"/>
    <n v="83566000"/>
    <x v="4"/>
    <x v="6"/>
    <x v="0"/>
  </r>
  <r>
    <d v="2012-11-27T00:00:00"/>
    <n v="12.16100025177"/>
    <n v="12.283499717712401"/>
    <n v="12.0769996643066"/>
    <n v="12.170000076293899"/>
    <n v="12.170000076293899"/>
    <n v="60970000"/>
    <x v="0"/>
    <x v="6"/>
    <x v="0"/>
  </r>
  <r>
    <d v="2012-11-28T00:00:00"/>
    <n v="12.122500419616699"/>
    <n v="12.3614997863769"/>
    <n v="12.074999809265099"/>
    <n v="12.355500221252401"/>
    <n v="12.355500221252401"/>
    <n v="54868000"/>
    <x v="1"/>
    <x v="6"/>
    <x v="0"/>
  </r>
  <r>
    <d v="2012-11-29T00:00:00"/>
    <n v="12.4025001525878"/>
    <n v="12.623999595641999"/>
    <n v="12.375"/>
    <n v="12.563500404357899"/>
    <n v="12.563500404357899"/>
    <n v="106210000"/>
    <x v="2"/>
    <x v="6"/>
    <x v="0"/>
  </r>
  <r>
    <d v="2012-11-30T00:00:00"/>
    <n v="12.5190000534057"/>
    <n v="12.632499694824199"/>
    <n v="12.413499832153301"/>
    <n v="12.602499961853001"/>
    <n v="12.602499961853001"/>
    <n v="75948000"/>
    <x v="3"/>
    <x v="6"/>
    <x v="0"/>
  </r>
  <r>
    <d v="2012-12-03T00:00:00"/>
    <n v="12.6269998550415"/>
    <n v="12.708000183105399"/>
    <n v="12.5"/>
    <n v="12.516500473022401"/>
    <n v="12.516500473022401"/>
    <n v="59812000"/>
    <x v="4"/>
    <x v="7"/>
    <x v="0"/>
  </r>
  <r>
    <d v="2012-12-04T00:00:00"/>
    <n v="12.496999740600501"/>
    <n v="12.649999618530201"/>
    <n v="12.432999610900801"/>
    <n v="12.6245002746582"/>
    <n v="12.6245002746582"/>
    <n v="62294000"/>
    <x v="0"/>
    <x v="7"/>
    <x v="0"/>
  </r>
  <r>
    <d v="2012-12-05T00:00:00"/>
    <n v="12.621999740600501"/>
    <n v="12.7775001525878"/>
    <n v="12.5190000534057"/>
    <n v="12.697999954223601"/>
    <n v="12.697999954223601"/>
    <n v="57044000"/>
    <x v="1"/>
    <x v="7"/>
    <x v="0"/>
  </r>
  <r>
    <d v="2012-12-06T00:00:00"/>
    <n v="12.649999618530201"/>
    <n v="12.7585000991821"/>
    <n v="12.5754995346069"/>
    <n v="12.668499946594199"/>
    <n v="12.668499946594199"/>
    <n v="71158000"/>
    <x v="2"/>
    <x v="7"/>
    <x v="0"/>
  </r>
  <r>
    <d v="2012-12-07T00:00:00"/>
    <n v="12.7069997787475"/>
    <n v="12.760499954223601"/>
    <n v="12.6005001068115"/>
    <n v="12.663499832153301"/>
    <n v="12.663499832153301"/>
    <n v="43406000"/>
    <x v="3"/>
    <x v="7"/>
    <x v="0"/>
  </r>
  <r>
    <d v="2012-12-10T00:00:00"/>
    <n v="12.654999732971101"/>
    <n v="12.739000320434499"/>
    <n v="12.3649997711181"/>
    <n v="12.388500213623001"/>
    <n v="12.388500213623001"/>
    <n v="70076000"/>
    <x v="4"/>
    <x v="7"/>
    <x v="0"/>
  </r>
  <r>
    <d v="2012-12-11T00:00:00"/>
    <n v="12.425000190734799"/>
    <n v="12.6739997863769"/>
    <n v="12.332500457763601"/>
    <n v="12.5345001220703"/>
    <n v="12.5345001220703"/>
    <n v="83704000"/>
    <x v="0"/>
    <x v="7"/>
    <x v="0"/>
  </r>
  <r>
    <d v="2012-12-12T00:00:00"/>
    <n v="12.553500175476"/>
    <n v="12.718000411987299"/>
    <n v="12.5030002593994"/>
    <n v="12.5880002975463"/>
    <n v="12.5880002975463"/>
    <n v="52562000"/>
    <x v="1"/>
    <x v="7"/>
    <x v="0"/>
  </r>
  <r>
    <d v="2012-12-13T00:00:00"/>
    <n v="12.5555000305175"/>
    <n v="12.7270002365112"/>
    <n v="12.501000404357899"/>
    <n v="12.5625"/>
    <n v="12.5625"/>
    <n v="49204000"/>
    <x v="2"/>
    <x v="7"/>
    <x v="0"/>
  </r>
  <r>
    <d v="2012-12-14T00:00:00"/>
    <n v="12.505499839782701"/>
    <n v="12.5950002670288"/>
    <n v="12.3894996643066"/>
    <n v="12.459500312805099"/>
    <n v="12.459500312805099"/>
    <n v="50538000"/>
    <x v="3"/>
    <x v="7"/>
    <x v="0"/>
  </r>
  <r>
    <d v="2012-12-17T00:00:00"/>
    <n v="12.490500450134199"/>
    <n v="12.699999809265099"/>
    <n v="12.4630002975463"/>
    <n v="12.692999839782701"/>
    <n v="12.692999839782701"/>
    <n v="45540000"/>
    <x v="4"/>
    <x v="7"/>
    <x v="0"/>
  </r>
  <r>
    <d v="2012-12-18T00:00:00"/>
    <n v="12.7285003662109"/>
    <n v="13.155500411987299"/>
    <n v="12.7285003662109"/>
    <n v="13.020000457763601"/>
    <n v="13.020000457763601"/>
    <n v="99220000"/>
    <x v="0"/>
    <x v="7"/>
    <x v="0"/>
  </r>
  <r>
    <d v="2012-12-19T00:00:00"/>
    <n v="13.064999580383301"/>
    <n v="13.0834999084472"/>
    <n v="12.883999824523899"/>
    <n v="12.8994998931884"/>
    <n v="12.8994998931884"/>
    <n v="46000000"/>
    <x v="1"/>
    <x v="7"/>
    <x v="0"/>
  </r>
  <r>
    <d v="2012-12-20T00:00:00"/>
    <n v="12.918000221252401"/>
    <n v="13.120499610900801"/>
    <n v="12.8269996643066"/>
    <n v="13.074999809265099"/>
    <n v="13.074999809265099"/>
    <n v="51692000"/>
    <x v="2"/>
    <x v="7"/>
    <x v="0"/>
  </r>
  <r>
    <d v="2012-12-21T00:00:00"/>
    <n v="12.8909997940063"/>
    <n v="12.918999671936"/>
    <n v="12.786999702453601"/>
    <n v="12.845999717712401"/>
    <n v="12.845999717712401"/>
    <n v="94092000"/>
    <x v="3"/>
    <x v="7"/>
    <x v="0"/>
  </r>
  <r>
    <d v="2012-12-24T00:00:00"/>
    <n v="12.8649997711181"/>
    <n v="12.9750003814697"/>
    <n v="12.847999572753899"/>
    <n v="12.9309997558593"/>
    <n v="12.9309997558593"/>
    <n v="19688000"/>
    <x v="4"/>
    <x v="7"/>
    <x v="0"/>
  </r>
  <r>
    <d v="2012-12-26T00:00:00"/>
    <n v="12.857500076293899"/>
    <n v="12.8710002899169"/>
    <n v="12.402000427246"/>
    <n v="12.431500434875399"/>
    <n v="12.431500434875399"/>
    <n v="83054000"/>
    <x v="1"/>
    <x v="7"/>
    <x v="0"/>
  </r>
  <r>
    <d v="2012-12-27T00:00:00"/>
    <n v="12.413999557495099"/>
    <n v="12.467499732971101"/>
    <n v="12.1429996490478"/>
    <n v="12.415499687194799"/>
    <n v="12.415499687194799"/>
    <n v="72786000"/>
    <x v="2"/>
    <x v="7"/>
    <x v="0"/>
  </r>
  <r>
    <d v="2012-12-28T00:00:00"/>
    <n v="12.2924995422363"/>
    <n v="12.371999740600501"/>
    <n v="12.252499580383301"/>
    <n v="12.258999824523899"/>
    <n v="12.258999824523899"/>
    <n v="37174000"/>
    <x v="3"/>
    <x v="7"/>
    <x v="0"/>
  </r>
  <r>
    <d v="2012-12-31T00:00:00"/>
    <n v="12.1875"/>
    <n v="12.620499610900801"/>
    <n v="12.137499809265099"/>
    <n v="12.543499946594199"/>
    <n v="12.543499946594199"/>
    <n v="68380000"/>
    <x v="4"/>
    <x v="7"/>
    <x v="0"/>
  </r>
  <r>
    <d v="2013-01-02T00:00:00"/>
    <n v="12.8039999008178"/>
    <n v="12.904999732971101"/>
    <n v="12.6630001068115"/>
    <n v="12.865500450134199"/>
    <n v="12.865500450134199"/>
    <n v="65420000"/>
    <x v="1"/>
    <x v="8"/>
    <x v="1"/>
  </r>
  <r>
    <d v="2013-01-03T00:00:00"/>
    <n v="12.8634996414184"/>
    <n v="13.043999671936"/>
    <n v="12.818499565124499"/>
    <n v="12.9239997863769"/>
    <n v="12.9239997863769"/>
    <n v="55018000"/>
    <x v="2"/>
    <x v="8"/>
    <x v="1"/>
  </r>
  <r>
    <d v="2013-01-04T00:00:00"/>
    <n v="12.878999710083001"/>
    <n v="12.9899997711181"/>
    <n v="12.832500457763601"/>
    <n v="12.957500457763601"/>
    <n v="12.957500457763601"/>
    <n v="37484000"/>
    <x v="3"/>
    <x v="8"/>
    <x v="1"/>
  </r>
  <r>
    <d v="2013-01-07T00:00:00"/>
    <n v="13.148500442504799"/>
    <n v="13.4864997863769"/>
    <n v="13.1335000991821"/>
    <n v="13.423000335693301"/>
    <n v="13.423000335693301"/>
    <n v="98200000"/>
    <x v="4"/>
    <x v="8"/>
    <x v="1"/>
  </r>
  <r>
    <d v="2013-01-08T00:00:00"/>
    <n v="13.3535003662109"/>
    <n v="13.4490003585815"/>
    <n v="13.178500175476"/>
    <n v="13.3190002441406"/>
    <n v="13.3190002441406"/>
    <n v="60214000"/>
    <x v="0"/>
    <x v="8"/>
    <x v="1"/>
  </r>
  <r>
    <d v="2013-01-09T00:00:00"/>
    <n v="13.408499717712401"/>
    <n v="13.4750003814697"/>
    <n v="13.270000457763601"/>
    <n v="13.3175001144409"/>
    <n v="13.3175001144409"/>
    <n v="45312000"/>
    <x v="1"/>
    <x v="8"/>
    <x v="1"/>
  </r>
  <r>
    <d v="2013-01-10T00:00:00"/>
    <n v="13.4270000457763"/>
    <n v="13.4370002746582"/>
    <n v="13.1149997711181"/>
    <n v="13.267000198364199"/>
    <n v="13.267000198364199"/>
    <n v="57268000"/>
    <x v="2"/>
    <x v="8"/>
    <x v="1"/>
  </r>
  <r>
    <d v="2013-01-11T00:00:00"/>
    <n v="13.2550001144409"/>
    <n v="13.421500205993601"/>
    <n v="13.2054996490478"/>
    <n v="13.397000312805099"/>
    <n v="13.397000312805099"/>
    <n v="48266000"/>
    <x v="3"/>
    <x v="8"/>
    <x v="1"/>
  </r>
  <r>
    <d v="2013-01-14T00:00:00"/>
    <n v="13.399999618530201"/>
    <n v="13.7130002975463"/>
    <n v="13.3769998550415"/>
    <n v="13.6365003585815"/>
    <n v="13.6365003585815"/>
    <n v="85500000"/>
    <x v="4"/>
    <x v="8"/>
    <x v="1"/>
  </r>
  <r>
    <d v="2013-01-15T00:00:00"/>
    <n v="13.5340003967285"/>
    <n v="13.6365003585815"/>
    <n v="13.4650001525878"/>
    <n v="13.5950002670288"/>
    <n v="13.5950002670288"/>
    <n v="46538000"/>
    <x v="0"/>
    <x v="8"/>
    <x v="1"/>
  </r>
  <r>
    <d v="2013-01-16T00:00:00"/>
    <n v="13.526499748229901"/>
    <n v="13.5620002746582"/>
    <n v="13.391500473022401"/>
    <n v="13.446499824523899"/>
    <n v="13.446499824523899"/>
    <n v="41312000"/>
    <x v="1"/>
    <x v="8"/>
    <x v="1"/>
  </r>
  <r>
    <d v="2013-01-17T00:00:00"/>
    <n v="13.574999809265099"/>
    <n v="13.59850025177"/>
    <n v="13.4604997634887"/>
    <n v="13.5240001678466"/>
    <n v="13.5240001678466"/>
    <n v="37692000"/>
    <x v="2"/>
    <x v="8"/>
    <x v="1"/>
  </r>
  <r>
    <d v="2013-01-18T00:00:00"/>
    <n v="13.541500091552701"/>
    <n v="13.7250003814697"/>
    <n v="13.4799995422363"/>
    <n v="13.605999946594199"/>
    <n v="13.605999946594199"/>
    <n v="58840000"/>
    <x v="3"/>
    <x v="8"/>
    <x v="1"/>
  </r>
  <r>
    <d v="2013-01-22T00:00:00"/>
    <n v="13.581000328063899"/>
    <n v="13.6049995422363"/>
    <n v="13.4615001678466"/>
    <n v="13.5094995498657"/>
    <n v="13.5094995498657"/>
    <n v="42754000"/>
    <x v="0"/>
    <x v="8"/>
    <x v="1"/>
  </r>
  <r>
    <d v="2013-01-23T00:00:00"/>
    <n v="13.528499603271401"/>
    <n v="13.5544996261596"/>
    <n v="13.332500457763601"/>
    <n v="13.405500411987299"/>
    <n v="13.405500411987299"/>
    <n v="50178000"/>
    <x v="1"/>
    <x v="8"/>
    <x v="1"/>
  </r>
  <r>
    <d v="2013-01-24T00:00:00"/>
    <n v="13.4685001373291"/>
    <n v="13.832500457763601"/>
    <n v="13.4685001373291"/>
    <n v="13.673000335693301"/>
    <n v="13.673000335693301"/>
    <n v="68340000"/>
    <x v="2"/>
    <x v="8"/>
    <x v="1"/>
  </r>
  <r>
    <d v="2013-01-25T00:00:00"/>
    <n v="13.75"/>
    <n v="14.236000061035099"/>
    <n v="13.7200002670288"/>
    <n v="14.199500083923301"/>
    <n v="14.199500083923301"/>
    <n v="99362000"/>
    <x v="3"/>
    <x v="8"/>
    <x v="1"/>
  </r>
  <r>
    <d v="2013-01-28T00:00:00"/>
    <n v="14.1890001296997"/>
    <n v="14.2239999771118"/>
    <n v="13.7200002670288"/>
    <n v="13.8020000457763"/>
    <n v="13.8020000457763"/>
    <n v="86428000"/>
    <x v="4"/>
    <x v="8"/>
    <x v="1"/>
  </r>
  <r>
    <d v="2013-01-29T00:00:00"/>
    <n v="13.767499923706"/>
    <n v="13.7729997634887"/>
    <n v="12.9174995422363"/>
    <n v="13.017499923706"/>
    <n v="13.017499923706"/>
    <n v="203452000"/>
    <x v="0"/>
    <x v="8"/>
    <x v="1"/>
  </r>
  <r>
    <d v="2013-01-30T00:00:00"/>
    <n v="14.149999618530201"/>
    <n v="14.2100000381469"/>
    <n v="13.355500221252401"/>
    <n v="13.6379995346069"/>
    <n v="13.6379995346069"/>
    <n v="261508000"/>
    <x v="1"/>
    <x v="8"/>
    <x v="1"/>
  </r>
  <r>
    <d v="2013-01-31T00:00:00"/>
    <n v="13.5520000457763"/>
    <n v="13.796999931335399"/>
    <n v="13.185000419616699"/>
    <n v="13.274999618530201"/>
    <n v="13.274999618530201"/>
    <n v="135442000"/>
    <x v="2"/>
    <x v="8"/>
    <x v="1"/>
  </r>
  <r>
    <d v="2013-02-01T00:00:00"/>
    <n v="13.446499824523899"/>
    <n v="13.446499824523899"/>
    <n v="13.140000343322701"/>
    <n v="13.25"/>
    <n v="13.25"/>
    <n v="122300000"/>
    <x v="3"/>
    <x v="9"/>
    <x v="1"/>
  </r>
  <r>
    <d v="2013-02-04T00:00:00"/>
    <n v="13.138999938964799"/>
    <n v="13.234000205993601"/>
    <n v="12.9534997940063"/>
    <n v="12.998999595641999"/>
    <n v="12.998999595641999"/>
    <n v="74472000"/>
    <x v="4"/>
    <x v="9"/>
    <x v="1"/>
  </r>
  <r>
    <d v="2013-02-05T00:00:00"/>
    <n v="13.1000003814697"/>
    <n v="13.401499748229901"/>
    <n v="13.072999954223601"/>
    <n v="13.344499588012599"/>
    <n v="13.344499588012599"/>
    <n v="80258000"/>
    <x v="0"/>
    <x v="9"/>
    <x v="1"/>
  </r>
  <r>
    <d v="2013-02-06T00:00:00"/>
    <n v="13.2580003738403"/>
    <n v="13.344499588012599"/>
    <n v="13.0555000305175"/>
    <n v="13.111000061035099"/>
    <n v="13.111000061035099"/>
    <n v="55408000"/>
    <x v="1"/>
    <x v="9"/>
    <x v="1"/>
  </r>
  <r>
    <d v="2013-02-07T00:00:00"/>
    <n v="13.204999923706"/>
    <n v="13.204999923706"/>
    <n v="12.755499839782701"/>
    <n v="13.0115003585815"/>
    <n v="13.0115003585815"/>
    <n v="79514000"/>
    <x v="2"/>
    <x v="9"/>
    <x v="1"/>
  </r>
  <r>
    <d v="2013-02-08T00:00:00"/>
    <n v="13.069999694824199"/>
    <n v="13.262499809265099"/>
    <n v="13.0275001525878"/>
    <n v="13.0974998474121"/>
    <n v="13.0974998474121"/>
    <n v="77584000"/>
    <x v="3"/>
    <x v="9"/>
    <x v="1"/>
  </r>
  <r>
    <d v="2013-02-11T00:00:00"/>
    <n v="13.1599998474121"/>
    <n v="13.1625003814697"/>
    <n v="12.829999923706"/>
    <n v="12.860500335693301"/>
    <n v="12.860500335693301"/>
    <n v="68074000"/>
    <x v="4"/>
    <x v="9"/>
    <x v="1"/>
  </r>
  <r>
    <d v="2013-02-12T00:00:00"/>
    <n v="12.959500312805099"/>
    <n v="13.0080003738403"/>
    <n v="12.8500003814697"/>
    <n v="12.935000419616699"/>
    <n v="12.935000419616699"/>
    <n v="58874000"/>
    <x v="0"/>
    <x v="9"/>
    <x v="1"/>
  </r>
  <r>
    <d v="2013-02-13T00:00:00"/>
    <n v="13.076499938964799"/>
    <n v="13.4980001449584"/>
    <n v="13.015000343322701"/>
    <n v="13.47350025177"/>
    <n v="13.47350025177"/>
    <n v="105860000"/>
    <x v="1"/>
    <x v="9"/>
    <x v="1"/>
  </r>
  <r>
    <d v="2013-02-14T00:00:00"/>
    <n v="13.3684997558593"/>
    <n v="13.5325002670288"/>
    <n v="13.270000457763601"/>
    <n v="13.4619998931884"/>
    <n v="13.4619998931884"/>
    <n v="69260000"/>
    <x v="2"/>
    <x v="9"/>
    <x v="1"/>
  </r>
  <r>
    <d v="2013-02-15T00:00:00"/>
    <n v="13.3815002441406"/>
    <n v="13.4460000991821"/>
    <n v="13.155500411987299"/>
    <n v="13.2545003890991"/>
    <n v="13.2545003890991"/>
    <n v="79598000"/>
    <x v="3"/>
    <x v="9"/>
    <x v="1"/>
  </r>
  <r>
    <d v="2013-02-19T00:00:00"/>
    <n v="13.2954998016357"/>
    <n v="13.505499839782701"/>
    <n v="13.2250003814697"/>
    <n v="13.487500190734799"/>
    <n v="13.487500190734799"/>
    <n v="57084000"/>
    <x v="0"/>
    <x v="9"/>
    <x v="1"/>
  </r>
  <r>
    <d v="2013-02-20T00:00:00"/>
    <n v="13.5100002288818"/>
    <n v="13.7150001525878"/>
    <n v="13.318499565124499"/>
    <n v="13.3205003738403"/>
    <n v="13.3205003738403"/>
    <n v="70578000"/>
    <x v="1"/>
    <x v="9"/>
    <x v="1"/>
  </r>
  <r>
    <d v="2013-02-21T00:00:00"/>
    <n v="13.255999565124499"/>
    <n v="13.4739999771118"/>
    <n v="13.1625003814697"/>
    <n v="13.296999931335399"/>
    <n v="13.296999931335399"/>
    <n v="72748000"/>
    <x v="2"/>
    <x v="9"/>
    <x v="1"/>
  </r>
  <r>
    <d v="2013-02-22T00:00:00"/>
    <n v="13.331000328063899"/>
    <n v="13.355500221252401"/>
    <n v="13.0804996490478"/>
    <n v="13.2709999084472"/>
    <n v="13.2709999084472"/>
    <n v="62496000"/>
    <x v="3"/>
    <x v="9"/>
    <x v="1"/>
  </r>
  <r>
    <d v="2013-02-25T00:00:00"/>
    <n v="13.3470001220703"/>
    <n v="13.434499740600501"/>
    <n v="12.982500076293899"/>
    <n v="12.9934997558593"/>
    <n v="12.9934997558593"/>
    <n v="60648000"/>
    <x v="4"/>
    <x v="9"/>
    <x v="1"/>
  </r>
  <r>
    <d v="2013-02-26T00:00:00"/>
    <n v="13.0445003509521"/>
    <n v="13.1020002365112"/>
    <n v="12.7864999771118"/>
    <n v="12.968000411987299"/>
    <n v="12.968000411987299"/>
    <n v="66972000"/>
    <x v="0"/>
    <x v="9"/>
    <x v="1"/>
  </r>
  <r>
    <d v="2013-02-27T00:00:00"/>
    <n v="12.9700002670288"/>
    <n v="13.291500091552701"/>
    <n v="12.843000411987299"/>
    <n v="13.1625003814697"/>
    <n v="13.1625003814697"/>
    <n v="58162000"/>
    <x v="1"/>
    <x v="9"/>
    <x v="1"/>
  </r>
  <r>
    <d v="2013-02-28T00:00:00"/>
    <n v="13.0904998779296"/>
    <n v="13.3500003814697"/>
    <n v="13.031499862670801"/>
    <n v="13.2135000228881"/>
    <n v="13.2135000228881"/>
    <n v="53344000"/>
    <x v="2"/>
    <x v="9"/>
    <x v="1"/>
  </r>
  <r>
    <d v="2013-03-01T00:00:00"/>
    <n v="13.163499832153301"/>
    <n v="13.329999923706"/>
    <n v="13.0520000457763"/>
    <n v="13.286999702453601"/>
    <n v="13.286999702453601"/>
    <n v="59140000"/>
    <x v="3"/>
    <x v="10"/>
    <x v="1"/>
  </r>
  <r>
    <d v="2013-03-04T00:00:00"/>
    <n v="13.2679996490478"/>
    <n v="13.664999961853001"/>
    <n v="13.2069997787475"/>
    <n v="13.655500411987299"/>
    <n v="13.655500411987299"/>
    <n v="69060000"/>
    <x v="4"/>
    <x v="10"/>
    <x v="1"/>
  </r>
  <r>
    <d v="2013-03-05T00:00:00"/>
    <n v="13.699999809265099"/>
    <n v="13.833999633789"/>
    <n v="13.4995002746582"/>
    <n v="13.7795000076293"/>
    <n v="13.7795000076293"/>
    <n v="73724000"/>
    <x v="0"/>
    <x v="10"/>
    <x v="1"/>
  </r>
  <r>
    <d v="2013-03-06T00:00:00"/>
    <n v="13.7880001068115"/>
    <n v="13.824500083923301"/>
    <n v="13.5915002822875"/>
    <n v="13.6894998550415"/>
    <n v="13.6894998550415"/>
    <n v="41014000"/>
    <x v="1"/>
    <x v="10"/>
    <x v="1"/>
  </r>
  <r>
    <d v="2013-03-07T00:00:00"/>
    <n v="13.704999923706"/>
    <n v="13.7399997711181"/>
    <n v="13.592499732971101"/>
    <n v="13.6940002441406"/>
    <n v="13.6940002441406"/>
    <n v="38780000"/>
    <x v="2"/>
    <x v="10"/>
    <x v="1"/>
  </r>
  <r>
    <d v="2013-03-08T00:00:00"/>
    <n v="13.75"/>
    <n v="13.772000312805099"/>
    <n v="13.574999809265099"/>
    <n v="13.709500312805099"/>
    <n v="13.709500312805099"/>
    <n v="37596000"/>
    <x v="3"/>
    <x v="10"/>
    <x v="1"/>
  </r>
  <r>
    <d v="2013-03-11T00:00:00"/>
    <n v="13.671500205993601"/>
    <n v="13.699500083923301"/>
    <n v="13.520000457763601"/>
    <n v="13.5620002746582"/>
    <n v="13.5620002746582"/>
    <n v="38098000"/>
    <x v="4"/>
    <x v="10"/>
    <x v="1"/>
  </r>
  <r>
    <d v="2013-03-12T00:00:00"/>
    <n v="13.550000190734799"/>
    <n v="13.869999885559"/>
    <n v="13.5179996490478"/>
    <n v="13.7065000534057"/>
    <n v="13.7065000534057"/>
    <n v="64924000"/>
    <x v="0"/>
    <x v="10"/>
    <x v="1"/>
  </r>
  <r>
    <d v="2013-03-13T00:00:00"/>
    <n v="13.762000083923301"/>
    <n v="13.824999809265099"/>
    <n v="13.631999969482401"/>
    <n v="13.7550001144409"/>
    <n v="13.7550001144409"/>
    <n v="37684000"/>
    <x v="1"/>
    <x v="10"/>
    <x v="1"/>
  </r>
  <r>
    <d v="2013-03-14T00:00:00"/>
    <n v="13.4834995269775"/>
    <n v="13.5"/>
    <n v="13.176500320434499"/>
    <n v="13.286999702453601"/>
    <n v="13.286999702453601"/>
    <n v="104534000"/>
    <x v="2"/>
    <x v="10"/>
    <x v="1"/>
  </r>
  <r>
    <d v="2013-03-15T00:00:00"/>
    <n v="13.248999595641999"/>
    <n v="13.3629999160766"/>
    <n v="13.002499580383301"/>
    <n v="13.090999603271401"/>
    <n v="13.090999603271401"/>
    <n v="97318000"/>
    <x v="3"/>
    <x v="10"/>
    <x v="1"/>
  </r>
  <r>
    <d v="2013-03-18T00:00:00"/>
    <n v="12.9650001525878"/>
    <n v="13.074500083923301"/>
    <n v="12.855999946594199"/>
    <n v="12.8944997787475"/>
    <n v="12.8944997787475"/>
    <n v="54404000"/>
    <x v="4"/>
    <x v="10"/>
    <x v="1"/>
  </r>
  <r>
    <d v="2013-03-19T00:00:00"/>
    <n v="12.920000076293899"/>
    <n v="12.9750003814697"/>
    <n v="12.630999565124499"/>
    <n v="12.8205003738403"/>
    <n v="12.8205003738403"/>
    <n v="74770000"/>
    <x v="0"/>
    <x v="10"/>
    <x v="1"/>
  </r>
  <r>
    <d v="2013-03-20T00:00:00"/>
    <n v="12.9025001525878"/>
    <n v="12.9879999160766"/>
    <n v="12.727499961853001"/>
    <n v="12.864000320434499"/>
    <n v="12.864000320434499"/>
    <n v="54778000"/>
    <x v="1"/>
    <x v="10"/>
    <x v="1"/>
  </r>
  <r>
    <d v="2013-03-21T00:00:00"/>
    <n v="12.8055000305175"/>
    <n v="12.8500003814697"/>
    <n v="12.633999824523899"/>
    <n v="12.6695003509521"/>
    <n v="12.6695003509521"/>
    <n v="56128000"/>
    <x v="2"/>
    <x v="10"/>
    <x v="1"/>
  </r>
  <r>
    <d v="2013-03-22T00:00:00"/>
    <n v="12.727499961853001"/>
    <n v="12.888500213623001"/>
    <n v="12.6035003662109"/>
    <n v="12.887499809265099"/>
    <n v="12.887499809265099"/>
    <n v="62492000"/>
    <x v="3"/>
    <x v="10"/>
    <x v="1"/>
  </r>
  <r>
    <d v="2013-03-25T00:00:00"/>
    <n v="12.9289999008178"/>
    <n v="12.9715003967285"/>
    <n v="12.7250003814697"/>
    <n v="12.8009996414184"/>
    <n v="12.8009996414184"/>
    <n v="50278000"/>
    <x v="4"/>
    <x v="10"/>
    <x v="1"/>
  </r>
  <r>
    <d v="2013-03-26T00:00:00"/>
    <n v="12.852499961853001"/>
    <n v="13.0740003585815"/>
    <n v="12.8140001296997"/>
    <n v="13.015500068664499"/>
    <n v="13.015500068664499"/>
    <n v="48420000"/>
    <x v="0"/>
    <x v="10"/>
    <x v="1"/>
  </r>
  <r>
    <d v="2013-03-27T00:00:00"/>
    <n v="12.9375"/>
    <n v="13.296500205993601"/>
    <n v="12.895000457763601"/>
    <n v="13.265000343322701"/>
    <n v="13.265000343322701"/>
    <n v="57498000"/>
    <x v="1"/>
    <x v="10"/>
    <x v="1"/>
  </r>
  <r>
    <d v="2013-03-28T00:00:00"/>
    <n v="13.2910003662109"/>
    <n v="13.369000434875399"/>
    <n v="13.203000068664499"/>
    <n v="13.324500083923301"/>
    <n v="13.324500083923301"/>
    <n v="49474000"/>
    <x v="2"/>
    <x v="10"/>
    <x v="1"/>
  </r>
  <r>
    <d v="2013-04-01T00:00:00"/>
    <n v="13.3489999771118"/>
    <n v="13.369999885559"/>
    <n v="13.0504999160766"/>
    <n v="13.0804996490478"/>
    <n v="13.0804996490478"/>
    <n v="50496000"/>
    <x v="4"/>
    <x v="11"/>
    <x v="1"/>
  </r>
  <r>
    <d v="2013-04-02T00:00:00"/>
    <n v="13.119999885559"/>
    <n v="13.2945003509521"/>
    <n v="13.0275001525878"/>
    <n v="13.1660003662109"/>
    <n v="13.1660003662109"/>
    <n v="52622000"/>
    <x v="0"/>
    <x v="11"/>
    <x v="1"/>
  </r>
  <r>
    <d v="2013-04-03T00:00:00"/>
    <n v="13.105999946594199"/>
    <n v="13.1835002899169"/>
    <n v="12.887499809265099"/>
    <n v="12.951499938964799"/>
    <n v="12.951499938964799"/>
    <n v="48276000"/>
    <x v="1"/>
    <x v="11"/>
    <x v="1"/>
  </r>
  <r>
    <d v="2013-04-04T00:00:00"/>
    <n v="12.9615001678466"/>
    <n v="13.020500183105399"/>
    <n v="12.8059997558593"/>
    <n v="12.954000473022401"/>
    <n v="12.954000473022401"/>
    <n v="39288000"/>
    <x v="2"/>
    <x v="11"/>
    <x v="1"/>
  </r>
  <r>
    <d v="2013-04-05T00:00:00"/>
    <n v="12.78600025177"/>
    <n v="12.8090000152587"/>
    <n v="12.6835002899169"/>
    <n v="12.7740001678466"/>
    <n v="12.7740001678466"/>
    <n v="51148000"/>
    <x v="3"/>
    <x v="11"/>
    <x v="1"/>
  </r>
  <r>
    <d v="2013-04-08T00:00:00"/>
    <n v="12.7959995269775"/>
    <n v="12.984000205993601"/>
    <n v="12.781499862670801"/>
    <n v="12.9475002288818"/>
    <n v="12.9475002288818"/>
    <n v="45912000"/>
    <x v="4"/>
    <x v="11"/>
    <x v="1"/>
  </r>
  <r>
    <d v="2013-04-09T00:00:00"/>
    <n v="12.9425001144409"/>
    <n v="13.130499839782701"/>
    <n v="12.8500003814697"/>
    <n v="13.0570001602172"/>
    <n v="13.0570001602172"/>
    <n v="43132000"/>
    <x v="0"/>
    <x v="11"/>
    <x v="1"/>
  </r>
  <r>
    <d v="2013-04-10T00:00:00"/>
    <n v="13.088999748229901"/>
    <n v="13.2989997863769"/>
    <n v="12.965999603271401"/>
    <n v="13.2384996414184"/>
    <n v="13.2384996414184"/>
    <n v="46450000"/>
    <x v="1"/>
    <x v="11"/>
    <x v="1"/>
  </r>
  <r>
    <d v="2013-04-11T00:00:00"/>
    <n v="13.237000465393001"/>
    <n v="13.548500061035099"/>
    <n v="13.237000465393001"/>
    <n v="13.4925003051757"/>
    <n v="13.4925003051757"/>
    <n v="61810000"/>
    <x v="2"/>
    <x v="11"/>
    <x v="1"/>
  </r>
  <r>
    <d v="2013-04-12T00:00:00"/>
    <n v="13.505999565124499"/>
    <n v="13.663499832153301"/>
    <n v="13.350999832153301"/>
    <n v="13.643500328063899"/>
    <n v="13.643500328063899"/>
    <n v="57326000"/>
    <x v="3"/>
    <x v="11"/>
    <x v="1"/>
  </r>
  <r>
    <d v="2013-04-15T00:00:00"/>
    <n v="13.5539999008178"/>
    <n v="13.755999565124499"/>
    <n v="13.3549995422363"/>
    <n v="13.385999679565399"/>
    <n v="13.385999679565399"/>
    <n v="66520000"/>
    <x v="4"/>
    <x v="11"/>
    <x v="1"/>
  </r>
  <r>
    <d v="2013-04-16T00:00:00"/>
    <n v="13.4654998779296"/>
    <n v="13.640000343322701"/>
    <n v="13.4029998779296"/>
    <n v="13.6169996261596"/>
    <n v="13.6169996261596"/>
    <n v="42744000"/>
    <x v="0"/>
    <x v="11"/>
    <x v="1"/>
  </r>
  <r>
    <d v="2013-04-17T00:00:00"/>
    <n v="13.539999961853001"/>
    <n v="13.5424995422363"/>
    <n v="13.212499618530201"/>
    <n v="13.369999885559"/>
    <n v="13.369999885559"/>
    <n v="62702000"/>
    <x v="1"/>
    <x v="11"/>
    <x v="1"/>
  </r>
  <r>
    <d v="2013-04-18T00:00:00"/>
    <n v="13.3404998779296"/>
    <n v="13.349499702453601"/>
    <n v="12.829999923706"/>
    <n v="12.970999717712401"/>
    <n v="12.970999717712401"/>
    <n v="62752000"/>
    <x v="2"/>
    <x v="11"/>
    <x v="1"/>
  </r>
  <r>
    <d v="2013-04-19T00:00:00"/>
    <n v="12.9079999923706"/>
    <n v="13.1440000534057"/>
    <n v="12.875"/>
    <n v="13.0159997940063"/>
    <n v="13.0159997940063"/>
    <n v="52050000"/>
    <x v="3"/>
    <x v="11"/>
    <x v="1"/>
  </r>
  <r>
    <d v="2013-04-22T00:00:00"/>
    <n v="12.967499732971101"/>
    <n v="13.2299995422363"/>
    <n v="12.901499748229901"/>
    <n v="13.1774997711181"/>
    <n v="13.1774997711181"/>
    <n v="42382000"/>
    <x v="4"/>
    <x v="11"/>
    <x v="1"/>
  </r>
  <r>
    <d v="2013-04-23T00:00:00"/>
    <n v="13.2250003814697"/>
    <n v="13.4934997558593"/>
    <n v="13.2250003814697"/>
    <n v="13.444999694824199"/>
    <n v="13.444999694824199"/>
    <n v="45412000"/>
    <x v="0"/>
    <x v="11"/>
    <x v="1"/>
  </r>
  <r>
    <d v="2013-04-24T00:00:00"/>
    <n v="13.4750003814697"/>
    <n v="13.573499679565399"/>
    <n v="13.3404998779296"/>
    <n v="13.4390001296997"/>
    <n v="13.4390001296997"/>
    <n v="37056000"/>
    <x v="1"/>
    <x v="11"/>
    <x v="1"/>
  </r>
  <r>
    <d v="2013-04-25T00:00:00"/>
    <n v="13.576499938964799"/>
    <n v="13.789999961853001"/>
    <n v="13.524999618530201"/>
    <n v="13.7349996566772"/>
    <n v="13.7349996566772"/>
    <n v="122330000"/>
    <x v="2"/>
    <x v="11"/>
    <x v="1"/>
  </r>
  <r>
    <d v="2013-04-26T00:00:00"/>
    <n v="13.498499870300201"/>
    <n v="13.600999832153301"/>
    <n v="12.640500068664499"/>
    <n v="12.740500450134199"/>
    <n v="12.740500450134199"/>
    <n v="280600000"/>
    <x v="3"/>
    <x v="11"/>
    <x v="1"/>
  </r>
  <r>
    <d v="2013-04-29T00:00:00"/>
    <n v="12.744999885559"/>
    <n v="12.8505001068115"/>
    <n v="12.457500457763601"/>
    <n v="12.487000465393001"/>
    <n v="12.487000465393001"/>
    <n v="142340000"/>
    <x v="4"/>
    <x v="11"/>
    <x v="1"/>
  </r>
  <r>
    <d v="2013-04-30T00:00:00"/>
    <n v="12.4685001373291"/>
    <n v="12.734000205993601"/>
    <n v="12.428000450134199"/>
    <n v="12.6905002593994"/>
    <n v="12.6905002593994"/>
    <n v="84976000"/>
    <x v="0"/>
    <x v="11"/>
    <x v="1"/>
  </r>
  <r>
    <d v="2013-05-01T00:00:00"/>
    <n v="12.694999694824199"/>
    <n v="12.7100000381469"/>
    <n v="12.2875003814697"/>
    <n v="12.4114999771118"/>
    <n v="12.4114999771118"/>
    <n v="87828000"/>
    <x v="1"/>
    <x v="0"/>
    <x v="1"/>
  </r>
  <r>
    <d v="2013-05-02T00:00:00"/>
    <n v="12.4469995498657"/>
    <n v="12.646499633789"/>
    <n v="12.288999557495099"/>
    <n v="12.627499580383301"/>
    <n v="12.627499580383301"/>
    <n v="78724000"/>
    <x v="2"/>
    <x v="0"/>
    <x v="1"/>
  </r>
  <r>
    <d v="2013-05-03T00:00:00"/>
    <n v="12.8070001602172"/>
    <n v="12.962499618530201"/>
    <n v="12.7349996566772"/>
    <n v="12.9025001525878"/>
    <n v="12.9025001525878"/>
    <n v="70280000"/>
    <x v="3"/>
    <x v="0"/>
    <x v="1"/>
  </r>
  <r>
    <d v="2013-05-06T00:00:00"/>
    <n v="12.9045000076293"/>
    <n v="12.9750003814697"/>
    <n v="12.6709995269775"/>
    <n v="12.78600025177"/>
    <n v="12.78600025177"/>
    <n v="46956000"/>
    <x v="4"/>
    <x v="0"/>
    <x v="1"/>
  </r>
  <r>
    <d v="2013-05-07T00:00:00"/>
    <n v="12.8155002593994"/>
    <n v="12.987000465393001"/>
    <n v="12.645500183105399"/>
    <n v="12.8865003585815"/>
    <n v="12.8865003585815"/>
    <n v="62674000"/>
    <x v="0"/>
    <x v="0"/>
    <x v="1"/>
  </r>
  <r>
    <d v="2013-05-08T00:00:00"/>
    <n v="12.8435001373291"/>
    <n v="13.015000343322701"/>
    <n v="12.766500473022401"/>
    <n v="12.9340000152587"/>
    <n v="12.9340000152587"/>
    <n v="53540000"/>
    <x v="1"/>
    <x v="0"/>
    <x v="1"/>
  </r>
  <r>
    <d v="2013-05-09T00:00:00"/>
    <n v="12.936499595641999"/>
    <n v="13.1774997711181"/>
    <n v="12.843999862670801"/>
    <n v="13.0080003738403"/>
    <n v="13.0080003738403"/>
    <n v="55386000"/>
    <x v="2"/>
    <x v="0"/>
    <x v="1"/>
  </r>
  <r>
    <d v="2013-05-10T00:00:00"/>
    <n v="13.043999671936"/>
    <n v="13.182499885559"/>
    <n v="13.010499954223601"/>
    <n v="13.181500434875399"/>
    <n v="13.181500434875399"/>
    <n v="62906000"/>
    <x v="3"/>
    <x v="0"/>
    <x v="1"/>
  </r>
  <r>
    <d v="2013-05-13T00:00:00"/>
    <n v="13.138500213623001"/>
    <n v="13.293999671936"/>
    <n v="13.1000003814697"/>
    <n v="13.2255001068115"/>
    <n v="13.2255001068115"/>
    <n v="42990000"/>
    <x v="4"/>
    <x v="0"/>
    <x v="1"/>
  </r>
  <r>
    <d v="2013-05-14T00:00:00"/>
    <n v="13.2250003814697"/>
    <n v="13.4700002670288"/>
    <n v="13.201499938964799"/>
    <n v="13.416500091552701"/>
    <n v="13.416500091552701"/>
    <n v="54000000"/>
    <x v="0"/>
    <x v="0"/>
    <x v="1"/>
  </r>
  <r>
    <d v="2013-05-15T00:00:00"/>
    <n v="13.3535003662109"/>
    <n v="13.452500343322701"/>
    <n v="13.227999687194799"/>
    <n v="13.328000068664499"/>
    <n v="13.328000068664499"/>
    <n v="54410000"/>
    <x v="1"/>
    <x v="0"/>
    <x v="1"/>
  </r>
  <r>
    <d v="2013-05-16T00:00:00"/>
    <n v="13.298000335693301"/>
    <n v="13.421500205993601"/>
    <n v="13.1925001144409"/>
    <n v="13.206000328063899"/>
    <n v="13.206000328063899"/>
    <n v="32870000"/>
    <x v="2"/>
    <x v="0"/>
    <x v="1"/>
  </r>
  <r>
    <d v="2013-05-17T00:00:00"/>
    <n v="13.291500091552701"/>
    <n v="13.498999595641999"/>
    <n v="13.25"/>
    <n v="13.494999885559"/>
    <n v="13.494999885559"/>
    <n v="50546000"/>
    <x v="3"/>
    <x v="0"/>
    <x v="1"/>
  </r>
  <r>
    <d v="2013-05-20T00:00:00"/>
    <n v="13.449999809265099"/>
    <n v="13.589500427246"/>
    <n v="13.324999809265099"/>
    <n v="13.3815002441406"/>
    <n v="13.3815002441406"/>
    <n v="44180000"/>
    <x v="4"/>
    <x v="0"/>
    <x v="1"/>
  </r>
  <r>
    <d v="2013-05-21T00:00:00"/>
    <n v="13.4370002746582"/>
    <n v="13.538499832153301"/>
    <n v="13.3830003738403"/>
    <n v="13.442999839782701"/>
    <n v="13.442999839782701"/>
    <n v="34824000"/>
    <x v="0"/>
    <x v="0"/>
    <x v="1"/>
  </r>
  <r>
    <d v="2013-05-22T00:00:00"/>
    <n v="13.3695001602172"/>
    <n v="13.3795003890991"/>
    <n v="13.039999961853001"/>
    <n v="13.1479997634887"/>
    <n v="13.1479997634887"/>
    <n v="66640000"/>
    <x v="1"/>
    <x v="0"/>
    <x v="1"/>
  </r>
  <r>
    <d v="2013-05-23T00:00:00"/>
    <n v="13.0244998931884"/>
    <n v="13.158499717712401"/>
    <n v="12.979499816894499"/>
    <n v="13.0900001525878"/>
    <n v="13.0900001525878"/>
    <n v="40006000"/>
    <x v="2"/>
    <x v="0"/>
    <x v="1"/>
  </r>
  <r>
    <d v="2013-05-24T00:00:00"/>
    <n v="12.9925003051757"/>
    <n v="13.0965003967285"/>
    <n v="12.916999816894499"/>
    <n v="13.0869998931884"/>
    <n v="13.0869998931884"/>
    <n v="33926000"/>
    <x v="3"/>
    <x v="0"/>
    <x v="1"/>
  </r>
  <r>
    <d v="2013-05-28T00:00:00"/>
    <n v="13.3240003585815"/>
    <n v="13.5550003051757"/>
    <n v="13.300000190734799"/>
    <n v="13.3645000457763"/>
    <n v="13.3645000457763"/>
    <n v="69420000"/>
    <x v="0"/>
    <x v="0"/>
    <x v="1"/>
  </r>
  <r>
    <d v="2013-05-29T00:00:00"/>
    <n v="13.2729997634887"/>
    <n v="13.4125003814697"/>
    <n v="13.2419996261596"/>
    <n v="13.276499748229901"/>
    <n v="13.276499748229901"/>
    <n v="38068000"/>
    <x v="1"/>
    <x v="0"/>
    <x v="1"/>
  </r>
  <r>
    <d v="2013-05-30T00:00:00"/>
    <n v="13.285499572753899"/>
    <n v="13.428500175476"/>
    <n v="13.280500411987299"/>
    <n v="13.3415002822875"/>
    <n v="13.3415002822875"/>
    <n v="33350000"/>
    <x v="2"/>
    <x v="0"/>
    <x v="1"/>
  </r>
  <r>
    <d v="2013-05-31T00:00:00"/>
    <n v="13.300000190734799"/>
    <n v="13.5954999923706"/>
    <n v="13.296999931335399"/>
    <n v="13.4600000381469"/>
    <n v="13.4600000381469"/>
    <n v="67486000"/>
    <x v="3"/>
    <x v="0"/>
    <x v="1"/>
  </r>
  <r>
    <d v="2013-06-03T00:00:00"/>
    <n v="13.447999954223601"/>
    <n v="13.4554996490478"/>
    <n v="13.1475000381469"/>
    <n v="13.343999862670801"/>
    <n v="13.343999862670801"/>
    <n v="50878000"/>
    <x v="4"/>
    <x v="1"/>
    <x v="1"/>
  </r>
  <r>
    <d v="2013-06-04T00:00:00"/>
    <n v="13.3500003814697"/>
    <n v="13.4440002441406"/>
    <n v="13.1510000228881"/>
    <n v="13.2849998474121"/>
    <n v="13.2849998474121"/>
    <n v="41772000"/>
    <x v="0"/>
    <x v="1"/>
    <x v="1"/>
  </r>
  <r>
    <d v="2013-06-05T00:00:00"/>
    <n v="13.290499687194799"/>
    <n v="13.583000183105399"/>
    <n v="13.251000404357899"/>
    <n v="13.3584995269775"/>
    <n v="13.3584995269775"/>
    <n v="70246000"/>
    <x v="1"/>
    <x v="1"/>
    <x v="1"/>
  </r>
  <r>
    <d v="2013-06-06T00:00:00"/>
    <n v="13.387499809265099"/>
    <n v="13.524999618530201"/>
    <n v="13.2104997634887"/>
    <n v="13.391500473022401"/>
    <n v="13.391500473022401"/>
    <n v="49526000"/>
    <x v="2"/>
    <x v="1"/>
    <x v="1"/>
  </r>
  <r>
    <d v="2013-06-07T00:00:00"/>
    <n v="13.487000465393001"/>
    <n v="14.0050001144409"/>
    <n v="13.4565000534057"/>
    <n v="13.8435001373291"/>
    <n v="13.8435001373291"/>
    <n v="92652000"/>
    <x v="3"/>
    <x v="1"/>
    <x v="1"/>
  </r>
  <r>
    <d v="2013-06-10T00:00:00"/>
    <n v="13.833999633789"/>
    <n v="14.123499870300201"/>
    <n v="13.762000083923301"/>
    <n v="14.053500175476"/>
    <n v="14.053500175476"/>
    <n v="61730000"/>
    <x v="4"/>
    <x v="1"/>
    <x v="1"/>
  </r>
  <r>
    <d v="2013-06-11T00:00:00"/>
    <n v="13.800000190734799"/>
    <n v="13.9204998016357"/>
    <n v="13.7119998931884"/>
    <n v="13.739000320434499"/>
    <n v="13.739000320434499"/>
    <n v="61956000"/>
    <x v="0"/>
    <x v="1"/>
    <x v="1"/>
  </r>
  <r>
    <d v="2013-06-12T00:00:00"/>
    <n v="13.829999923706"/>
    <n v="13.8400001525878"/>
    <n v="13.5225000381469"/>
    <n v="13.5834999084472"/>
    <n v="13.5834999084472"/>
    <n v="44778000"/>
    <x v="1"/>
    <x v="1"/>
    <x v="1"/>
  </r>
  <r>
    <d v="2013-06-13T00:00:00"/>
    <n v="13.574999809265099"/>
    <n v="13.8400001525878"/>
    <n v="13.5144996643066"/>
    <n v="13.7895002365112"/>
    <n v="13.7895002365112"/>
    <n v="52996000"/>
    <x v="2"/>
    <x v="1"/>
    <x v="1"/>
  </r>
  <r>
    <d v="2013-06-14T00:00:00"/>
    <n v="13.75"/>
    <n v="13.8535003662109"/>
    <n v="13.671999931335399"/>
    <n v="13.699500083923301"/>
    <n v="13.699500083923301"/>
    <n v="43016000"/>
    <x v="3"/>
    <x v="1"/>
    <x v="1"/>
  </r>
  <r>
    <d v="2013-06-17T00:00:00"/>
    <n v="13.8175001144409"/>
    <n v="14.0100002288818"/>
    <n v="13.7825002670288"/>
    <n v="13.9029998779296"/>
    <n v="13.9029998779296"/>
    <n v="57680000"/>
    <x v="4"/>
    <x v="1"/>
    <x v="1"/>
  </r>
  <r>
    <d v="2013-06-18T00:00:00"/>
    <n v="13.954000473022401"/>
    <n v="14.145500183105399"/>
    <n v="13.905500411987299"/>
    <n v="14.0880002975463"/>
    <n v="14.0880002975463"/>
    <n v="42922000"/>
    <x v="0"/>
    <x v="1"/>
    <x v="1"/>
  </r>
  <r>
    <d v="2013-06-19T00:00:00"/>
    <n v="14.062999725341699"/>
    <n v="14.166999816894499"/>
    <n v="13.893500328063899"/>
    <n v="13.9079999923706"/>
    <n v="13.9079999923706"/>
    <n v="56550000"/>
    <x v="1"/>
    <x v="1"/>
    <x v="1"/>
  </r>
  <r>
    <d v="2013-06-20T00:00:00"/>
    <n v="13.756999969482401"/>
    <n v="13.9300003051757"/>
    <n v="13.6195001602172"/>
    <n v="13.671999931335399"/>
    <n v="13.671999931335399"/>
    <n v="59680000"/>
    <x v="2"/>
    <x v="1"/>
    <x v="1"/>
  </r>
  <r>
    <d v="2013-06-21T00:00:00"/>
    <n v="13.7285003662109"/>
    <n v="13.791999816894499"/>
    <n v="13.4895000457763"/>
    <n v="13.668000221252401"/>
    <n v="13.668000221252401"/>
    <n v="84020000"/>
    <x v="3"/>
    <x v="1"/>
    <x v="1"/>
  </r>
  <r>
    <d v="2013-06-24T00:00:00"/>
    <n v="13.5644998550415"/>
    <n v="13.6579999923706"/>
    <n v="13.25"/>
    <n v="13.530500411987299"/>
    <n v="13.530500411987299"/>
    <n v="77276000"/>
    <x v="4"/>
    <x v="1"/>
    <x v="1"/>
  </r>
  <r>
    <d v="2013-06-25T00:00:00"/>
    <n v="13.6149997711181"/>
    <n v="13.673500061035099"/>
    <n v="13.449999809265099"/>
    <n v="13.604499816894499"/>
    <n v="13.604499816894499"/>
    <n v="48992000"/>
    <x v="0"/>
    <x v="1"/>
    <x v="1"/>
  </r>
  <r>
    <d v="2013-06-26T00:00:00"/>
    <n v="13.6990003585815"/>
    <n v="13.8990001678466"/>
    <n v="13.675000190734799"/>
    <n v="13.8784999847412"/>
    <n v="13.8784999847412"/>
    <n v="60590000"/>
    <x v="1"/>
    <x v="1"/>
    <x v="1"/>
  </r>
  <r>
    <d v="2013-06-27T00:00:00"/>
    <n v="13.958999633789"/>
    <n v="14.0100002288818"/>
    <n v="13.7270002365112"/>
    <n v="13.877499580383301"/>
    <n v="13.877499580383301"/>
    <n v="50390000"/>
    <x v="2"/>
    <x v="1"/>
    <x v="1"/>
  </r>
  <r>
    <d v="2013-06-28T00:00:00"/>
    <n v="13.809499740600501"/>
    <n v="13.9914999008178"/>
    <n v="13.809499740600501"/>
    <n v="13.8844995498657"/>
    <n v="13.8844995498657"/>
    <n v="63866000"/>
    <x v="3"/>
    <x v="1"/>
    <x v="1"/>
  </r>
  <r>
    <d v="2013-07-01T00:00:00"/>
    <n v="13.949999809265099"/>
    <n v="14.1645002365112"/>
    <n v="13.8579998016357"/>
    <n v="14.1049995422363"/>
    <n v="14.1049995422363"/>
    <n v="57764000"/>
    <x v="4"/>
    <x v="2"/>
    <x v="1"/>
  </r>
  <r>
    <d v="2013-07-02T00:00:00"/>
    <n v="14.0520000457763"/>
    <n v="14.329000473022401"/>
    <n v="14.0295000076293"/>
    <n v="14.186499595641999"/>
    <n v="14.186499595641999"/>
    <n v="64764000"/>
    <x v="0"/>
    <x v="2"/>
    <x v="1"/>
  </r>
  <r>
    <d v="2013-07-03T00:00:00"/>
    <n v="14.1000003814697"/>
    <n v="14.270000457763601"/>
    <n v="14.1000003814697"/>
    <n v="14.201499938964799"/>
    <n v="14.201499938964799"/>
    <n v="27460000"/>
    <x v="1"/>
    <x v="2"/>
    <x v="1"/>
  </r>
  <r>
    <d v="2013-07-05T00:00:00"/>
    <n v="14.25"/>
    <n v="14.3190002441406"/>
    <n v="14.1035003662109"/>
    <n v="14.293999671936"/>
    <n v="14.293999671936"/>
    <n v="39708000"/>
    <x v="3"/>
    <x v="2"/>
    <x v="1"/>
  </r>
  <r>
    <d v="2013-07-08T00:00:00"/>
    <n v="14.3210000991821"/>
    <n v="14.5834999084472"/>
    <n v="14.3070001602172"/>
    <n v="14.5295000076293"/>
    <n v="14.5295000076293"/>
    <n v="60934000"/>
    <x v="4"/>
    <x v="2"/>
    <x v="1"/>
  </r>
  <r>
    <d v="2013-07-09T00:00:00"/>
    <n v="14.550000190734799"/>
    <n v="14.6284999847412"/>
    <n v="14.4005002975463"/>
    <n v="14.576499938964799"/>
    <n v="14.576499938964799"/>
    <n v="55512000"/>
    <x v="0"/>
    <x v="2"/>
    <x v="1"/>
  </r>
  <r>
    <d v="2013-07-10T00:00:00"/>
    <n v="14.5705003738403"/>
    <n v="14.666999816894499"/>
    <n v="14.4700002670288"/>
    <n v="14.6164999008178"/>
    <n v="14.6164999008178"/>
    <n v="36204000"/>
    <x v="1"/>
    <x v="2"/>
    <x v="1"/>
  </r>
  <r>
    <d v="2013-07-11T00:00:00"/>
    <n v="14.7495002746582"/>
    <n v="15.0345001220703"/>
    <n v="14.6049995422363"/>
    <n v="14.9829998016357"/>
    <n v="14.9829998016357"/>
    <n v="80146000"/>
    <x v="2"/>
    <x v="2"/>
    <x v="1"/>
  </r>
  <r>
    <d v="2013-07-12T00:00:00"/>
    <n v="14.934499740600501"/>
    <n v="15.377499580383301"/>
    <n v="14.925000190734799"/>
    <n v="15.377499580383301"/>
    <n v="15.377499580383301"/>
    <n v="90786000"/>
    <x v="3"/>
    <x v="2"/>
    <x v="1"/>
  </r>
  <r>
    <d v="2013-07-15T00:00:00"/>
    <n v="15.3634996414184"/>
    <n v="15.3994998931884"/>
    <n v="15.217499732971101"/>
    <n v="15.3284997940063"/>
    <n v="15.3284997940063"/>
    <n v="44912000"/>
    <x v="4"/>
    <x v="2"/>
    <x v="1"/>
  </r>
  <r>
    <d v="2013-07-16T00:00:00"/>
    <n v="15.3649997711181"/>
    <n v="15.469499588012599"/>
    <n v="15.2755002975463"/>
    <n v="15.3435001373291"/>
    <n v="15.3435001373291"/>
    <n v="53204000"/>
    <x v="0"/>
    <x v="2"/>
    <x v="1"/>
  </r>
  <r>
    <d v="2013-07-17T00:00:00"/>
    <n v="15.34850025177"/>
    <n v="15.439999580383301"/>
    <n v="15.2845001220703"/>
    <n v="15.434499740600501"/>
    <n v="15.434499740600501"/>
    <n v="40594000"/>
    <x v="1"/>
    <x v="2"/>
    <x v="1"/>
  </r>
  <r>
    <d v="2013-07-18T00:00:00"/>
    <n v="15.313500404357899"/>
    <n v="15.3170003890991"/>
    <n v="15.0935001373291"/>
    <n v="15.2054996490478"/>
    <n v="15.2054996490478"/>
    <n v="61276000"/>
    <x v="2"/>
    <x v="2"/>
    <x v="1"/>
  </r>
  <r>
    <d v="2013-07-19T00:00:00"/>
    <n v="15.219499588012599"/>
    <n v="15.2895002365112"/>
    <n v="15.0954999923706"/>
    <n v="15.2615003585815"/>
    <n v="15.2615003585815"/>
    <n v="59462000"/>
    <x v="3"/>
    <x v="2"/>
    <x v="1"/>
  </r>
  <r>
    <d v="2013-07-22T00:00:00"/>
    <n v="15.462499618530201"/>
    <n v="15.462499618530201"/>
    <n v="15.1000003814697"/>
    <n v="15.1739997863769"/>
    <n v="15.1739997863769"/>
    <n v="50414000"/>
    <x v="4"/>
    <x v="2"/>
    <x v="1"/>
  </r>
  <r>
    <d v="2013-07-23T00:00:00"/>
    <n v="15.1579999923706"/>
    <n v="15.2530002593994"/>
    <n v="15.0279998779296"/>
    <n v="15.053000450134199"/>
    <n v="15.053000450134199"/>
    <n v="39992000"/>
    <x v="0"/>
    <x v="2"/>
    <x v="1"/>
  </r>
  <r>
    <d v="2013-07-24T00:00:00"/>
    <n v="15.1510000228881"/>
    <n v="15.1920003890991"/>
    <n v="14.902000427246"/>
    <n v="14.9469995498657"/>
    <n v="14.9469995498657"/>
    <n v="40010000"/>
    <x v="1"/>
    <x v="2"/>
    <x v="1"/>
  </r>
  <r>
    <d v="2013-07-25T00:00:00"/>
    <n v="14.949999809265099"/>
    <n v="15.2250003814697"/>
    <n v="14.837499618530201"/>
    <n v="15.170000076293899"/>
    <n v="15.170000076293899"/>
    <n v="108116000"/>
    <x v="2"/>
    <x v="2"/>
    <x v="1"/>
  </r>
  <r>
    <d v="2013-07-26T00:00:00"/>
    <n v="14.977499961853001"/>
    <n v="15.6809997558593"/>
    <n v="14.7775001525878"/>
    <n v="15.6005001068115"/>
    <n v="15.6005001068115"/>
    <n v="176350000"/>
    <x v="3"/>
    <x v="2"/>
    <x v="1"/>
  </r>
  <r>
    <d v="2013-07-29T00:00:00"/>
    <n v="15.553500175476"/>
    <n v="15.649999618530201"/>
    <n v="15.295000076293899"/>
    <n v="15.3050003051757"/>
    <n v="15.3050003051757"/>
    <n v="64236000"/>
    <x v="4"/>
    <x v="2"/>
    <x v="1"/>
  </r>
  <r>
    <d v="2013-07-30T00:00:00"/>
    <n v="15.385999679565399"/>
    <n v="15.489000320434499"/>
    <n v="15.0784997940063"/>
    <n v="15.120499610900801"/>
    <n v="15.120499610900801"/>
    <n v="61068000"/>
    <x v="0"/>
    <x v="2"/>
    <x v="1"/>
  </r>
  <r>
    <d v="2013-07-31T00:00:00"/>
    <n v="15.1955003738403"/>
    <n v="15.257499694824199"/>
    <n v="15.050000190734799"/>
    <n v="15.060999870300201"/>
    <n v="15.060999870300201"/>
    <n v="37826000"/>
    <x v="1"/>
    <x v="2"/>
    <x v="1"/>
  </r>
  <r>
    <d v="2013-08-01T00:00:00"/>
    <n v="15.1540002822875"/>
    <n v="15.3105001449584"/>
    <n v="14.944999694824199"/>
    <n v="15.278499603271401"/>
    <n v="15.278499603271401"/>
    <n v="59434000"/>
    <x v="2"/>
    <x v="3"/>
    <x v="1"/>
  </r>
  <r>
    <d v="2013-08-02T00:00:00"/>
    <n v="15.231499671936"/>
    <n v="15.266500473022401"/>
    <n v="15.074999809265099"/>
    <n v="15.2104997634887"/>
    <n v="15.2104997634887"/>
    <n v="50052000"/>
    <x v="3"/>
    <x v="3"/>
    <x v="1"/>
  </r>
  <r>
    <d v="2013-08-05T00:00:00"/>
    <n v="15.170000076293899"/>
    <n v="15.1809997558593"/>
    <n v="14.914999961853001"/>
    <n v="15.049500465393001"/>
    <n v="15.049500465393001"/>
    <n v="44664000"/>
    <x v="4"/>
    <x v="3"/>
    <x v="1"/>
  </r>
  <r>
    <d v="2013-08-06T00:00:00"/>
    <n v="15.0255002975463"/>
    <n v="15.067999839782701"/>
    <n v="14.876000404357899"/>
    <n v="15.0375003814697"/>
    <n v="15.0375003814697"/>
    <n v="36980000"/>
    <x v="0"/>
    <x v="3"/>
    <x v="1"/>
  </r>
  <r>
    <d v="2013-08-07T00:00:00"/>
    <n v="15.007499694824199"/>
    <n v="15.049500465393001"/>
    <n v="14.807499885559"/>
    <n v="14.8454999923706"/>
    <n v="14.8454999923706"/>
    <n v="39220000"/>
    <x v="1"/>
    <x v="3"/>
    <x v="1"/>
  </r>
  <r>
    <d v="2013-08-08T00:00:00"/>
    <n v="14.9259996414184"/>
    <n v="14.9259996414184"/>
    <n v="14.627499580383301"/>
    <n v="14.786999702453601"/>
    <n v="14.786999702453601"/>
    <n v="46868000"/>
    <x v="2"/>
    <x v="3"/>
    <x v="1"/>
  </r>
  <r>
    <d v="2013-08-09T00:00:00"/>
    <n v="14.7840003967285"/>
    <n v="14.9635000228881"/>
    <n v="14.7150001525878"/>
    <n v="14.8629999160766"/>
    <n v="14.8629999160766"/>
    <n v="39006000"/>
    <x v="3"/>
    <x v="3"/>
    <x v="1"/>
  </r>
  <r>
    <d v="2013-08-12T00:00:00"/>
    <n v="14.7895002365112"/>
    <n v="14.954000473022401"/>
    <n v="14.7629995346069"/>
    <n v="14.834500312805099"/>
    <n v="14.834500312805099"/>
    <n v="30090000"/>
    <x v="4"/>
    <x v="3"/>
    <x v="1"/>
  </r>
  <r>
    <d v="2013-08-13T00:00:00"/>
    <n v="14.793999671936"/>
    <n v="14.818499565124499"/>
    <n v="14.533499717712401"/>
    <n v="14.698499679565399"/>
    <n v="14.698499679565399"/>
    <n v="46998000"/>
    <x v="0"/>
    <x v="3"/>
    <x v="1"/>
  </r>
  <r>
    <d v="2013-08-14T00:00:00"/>
    <n v="14.714500427246"/>
    <n v="14.714500427246"/>
    <n v="14.527000427246"/>
    <n v="14.5670003890991"/>
    <n v="14.5670003890991"/>
    <n v="28300000"/>
    <x v="1"/>
    <x v="3"/>
    <x v="1"/>
  </r>
  <r>
    <d v="2013-08-15T00:00:00"/>
    <n v="14.4394998550415"/>
    <n v="14.4650001525878"/>
    <n v="14.257499694824199"/>
    <n v="14.323499679565399"/>
    <n v="14.323499679565399"/>
    <n v="45228000"/>
    <x v="2"/>
    <x v="3"/>
    <x v="1"/>
  </r>
  <r>
    <d v="2013-08-16T00:00:00"/>
    <n v="14.327500343322701"/>
    <n v="14.416500091552701"/>
    <n v="14.2250003814697"/>
    <n v="14.241000175476"/>
    <n v="14.241000175476"/>
    <n v="48450000"/>
    <x v="3"/>
    <x v="3"/>
    <x v="1"/>
  </r>
  <r>
    <d v="2013-08-19T00:00:00"/>
    <n v="14.2594995498657"/>
    <n v="14.477999687194799"/>
    <n v="14.1739997863769"/>
    <n v="14.278499603271401"/>
    <n v="14.278499603271401"/>
    <n v="49548000"/>
    <x v="4"/>
    <x v="3"/>
    <x v="1"/>
  </r>
  <r>
    <d v="2013-08-20T00:00:00"/>
    <n v="14.293999671936"/>
    <n v="14.4755001068115"/>
    <n v="14.286999702453601"/>
    <n v="14.354499816894499"/>
    <n v="14.354499816894499"/>
    <n v="31726000"/>
    <x v="0"/>
    <x v="3"/>
    <x v="1"/>
  </r>
  <r>
    <d v="2013-08-21T00:00:00"/>
    <n v="14.2545003890991"/>
    <n v="14.425000190734799"/>
    <n v="14.191499710083001"/>
    <n v="14.2285003662109"/>
    <n v="14.2285003662109"/>
    <n v="36306000"/>
    <x v="1"/>
    <x v="3"/>
    <x v="1"/>
  </r>
  <r>
    <d v="2013-08-22T00:00:00"/>
    <n v="14.2399997711181"/>
    <n v="14.4934997558593"/>
    <n v="14.2399997711181"/>
    <n v="14.4864997863769"/>
    <n v="14.4864997863769"/>
    <n v="28452000"/>
    <x v="2"/>
    <x v="3"/>
    <x v="1"/>
  </r>
  <r>
    <d v="2013-08-23T00:00:00"/>
    <n v="14.5605001449584"/>
    <n v="14.574999809265099"/>
    <n v="14.395000457763601"/>
    <n v="14.500499725341699"/>
    <n v="14.500499725341699"/>
    <n v="39238000"/>
    <x v="3"/>
    <x v="3"/>
    <x v="1"/>
  </r>
  <r>
    <d v="2013-08-26T00:00:00"/>
    <n v="14.521499633789"/>
    <n v="14.5524997711181"/>
    <n v="14.2810001373291"/>
    <n v="14.3105001449584"/>
    <n v="14.3105001449584"/>
    <n v="34234000"/>
    <x v="4"/>
    <x v="3"/>
    <x v="1"/>
  </r>
  <r>
    <d v="2013-08-27T00:00:00"/>
    <n v="14.193499565124499"/>
    <n v="14.263999938964799"/>
    <n v="13.987000465393001"/>
    <n v="14.046500205993601"/>
    <n v="14.046500205993601"/>
    <n v="49520000"/>
    <x v="0"/>
    <x v="3"/>
    <x v="1"/>
  </r>
  <r>
    <d v="2013-08-28T00:00:00"/>
    <n v="14.0179996490478"/>
    <n v="14.149999618530201"/>
    <n v="13.9665002822875"/>
    <n v="14.079000473022401"/>
    <n v="14.079000473022401"/>
    <n v="29142000"/>
    <x v="1"/>
    <x v="3"/>
    <x v="1"/>
  </r>
  <r>
    <d v="2013-08-29T00:00:00"/>
    <n v="14.0725002288818"/>
    <n v="14.2989997863769"/>
    <n v="14"/>
    <n v="14.1990003585815"/>
    <n v="14.1990003585815"/>
    <n v="31328000"/>
    <x v="2"/>
    <x v="3"/>
    <x v="1"/>
  </r>
  <r>
    <d v="2013-08-30T00:00:00"/>
    <n v="14.229499816894499"/>
    <n v="14.2434997558593"/>
    <n v="14"/>
    <n v="14.0489997863769"/>
    <n v="14.0489997863769"/>
    <n v="30694000"/>
    <x v="3"/>
    <x v="3"/>
    <x v="1"/>
  </r>
  <r>
    <d v="2013-09-03T00:00:00"/>
    <n v="14.2364997863769"/>
    <n v="14.569499969482401"/>
    <n v="14.2084999084472"/>
    <n v="14.439999580383301"/>
    <n v="14.439999580383301"/>
    <n v="57952000"/>
    <x v="0"/>
    <x v="4"/>
    <x v="1"/>
  </r>
  <r>
    <d v="2013-09-04T00:00:00"/>
    <n v="14.416500091552701"/>
    <n v="14.7615003585815"/>
    <n v="14.378999710083001"/>
    <n v="14.6820001602172"/>
    <n v="14.6820001602172"/>
    <n v="48772000"/>
    <x v="1"/>
    <x v="4"/>
    <x v="1"/>
  </r>
  <r>
    <d v="2013-09-05T00:00:00"/>
    <n v="14.681500434875399"/>
    <n v="14.8500003814697"/>
    <n v="14.635499954223601"/>
    <n v="14.704999923706"/>
    <n v="14.704999923706"/>
    <n v="36332000"/>
    <x v="2"/>
    <x v="4"/>
    <x v="1"/>
  </r>
  <r>
    <d v="2013-09-06T00:00:00"/>
    <n v="14.766500473022401"/>
    <n v="14.9440002441406"/>
    <n v="14.539999961853001"/>
    <n v="14.793000221252401"/>
    <n v="14.793000221252401"/>
    <n v="45840000"/>
    <x v="3"/>
    <x v="4"/>
    <x v="1"/>
  </r>
  <r>
    <d v="2013-09-09T00:00:00"/>
    <n v="14.861000061035099"/>
    <n v="14.9980001449584"/>
    <n v="14.829999923706"/>
    <n v="14.985500335693301"/>
    <n v="14.985500335693301"/>
    <n v="32872000"/>
    <x v="4"/>
    <x v="4"/>
    <x v="1"/>
  </r>
  <r>
    <d v="2013-09-10T00:00:00"/>
    <n v="15.0275001525878"/>
    <n v="15.050000190734799"/>
    <n v="14.861000061035099"/>
    <n v="15.0179996490478"/>
    <n v="15.0179996490478"/>
    <n v="35568000"/>
    <x v="0"/>
    <x v="4"/>
    <x v="1"/>
  </r>
  <r>
    <d v="2013-09-11T00:00:00"/>
    <n v="14.9455003738403"/>
    <n v="15.093000411987299"/>
    <n v="14.892000198364199"/>
    <n v="14.9820003509521"/>
    <n v="14.9820003509521"/>
    <n v="34852000"/>
    <x v="1"/>
    <x v="4"/>
    <x v="1"/>
  </r>
  <r>
    <d v="2013-09-12T00:00:00"/>
    <n v="14.969499588012599"/>
    <n v="15.1000003814697"/>
    <n v="14.8830003738403"/>
    <n v="14.942999839782701"/>
    <n v="14.942999839782701"/>
    <n v="32124000"/>
    <x v="2"/>
    <x v="4"/>
    <x v="1"/>
  </r>
  <r>
    <d v="2013-09-13T00:00:00"/>
    <n v="15.006999969482401"/>
    <n v="15.010999679565399"/>
    <n v="14.810000419616699"/>
    <n v="14.8959999084472"/>
    <n v="14.8959999084472"/>
    <n v="27012000"/>
    <x v="3"/>
    <x v="4"/>
    <x v="1"/>
  </r>
  <r>
    <d v="2013-09-16T00:00:00"/>
    <n v="14.991000175476"/>
    <n v="15.050000190734799"/>
    <n v="14.7629995346069"/>
    <n v="14.803000450134199"/>
    <n v="14.803000450134199"/>
    <n v="36168000"/>
    <x v="4"/>
    <x v="4"/>
    <x v="1"/>
  </r>
  <r>
    <d v="2013-09-17T00:00:00"/>
    <n v="14.8815002441406"/>
    <n v="15.232500076293899"/>
    <n v="14.8004999160766"/>
    <n v="15.2084999084472"/>
    <n v="15.2084999084472"/>
    <n v="45930000"/>
    <x v="0"/>
    <x v="4"/>
    <x v="1"/>
  </r>
  <r>
    <d v="2013-09-18T00:00:00"/>
    <n v="15.203000068664499"/>
    <n v="15.637000083923301"/>
    <n v="15.145500183105399"/>
    <n v="15.601499557495099"/>
    <n v="15.601499557495099"/>
    <n v="58928000"/>
    <x v="1"/>
    <x v="4"/>
    <x v="1"/>
  </r>
  <r>
    <d v="2013-09-19T00:00:00"/>
    <n v="15.688500404357899"/>
    <n v="15.7270002365112"/>
    <n v="15.5520000457763"/>
    <n v="15.602999687194799"/>
    <n v="15.602999687194799"/>
    <n v="47018000"/>
    <x v="2"/>
    <x v="4"/>
    <x v="1"/>
  </r>
  <r>
    <d v="2013-09-20T00:00:00"/>
    <n v="15.6269998550415"/>
    <n v="16.028499603271399"/>
    <n v="15.620499610900801"/>
    <n v="15.8170003890991"/>
    <n v="15.8170003890991"/>
    <n v="106046000"/>
    <x v="3"/>
    <x v="4"/>
    <x v="1"/>
  </r>
  <r>
    <d v="2013-09-23T00:00:00"/>
    <n v="15.7004995346069"/>
    <n v="15.795000076293899"/>
    <n v="15.438500404357899"/>
    <n v="15.574500083923301"/>
    <n v="15.574500083923301"/>
    <n v="37698000"/>
    <x v="4"/>
    <x v="4"/>
    <x v="1"/>
  </r>
  <r>
    <d v="2013-09-24T00:00:00"/>
    <n v="15.6215000152587"/>
    <n v="15.9040002822875"/>
    <n v="15.5640001296997"/>
    <n v="15.7065000534057"/>
    <n v="15.7065000534057"/>
    <n v="40672000"/>
    <x v="0"/>
    <x v="4"/>
    <x v="1"/>
  </r>
  <r>
    <d v="2013-09-25T00:00:00"/>
    <n v="15.726499557495099"/>
    <n v="15.8354997634887"/>
    <n v="15.5375003814697"/>
    <n v="15.632499694824199"/>
    <n v="15.632499694824199"/>
    <n v="40172000"/>
    <x v="1"/>
    <x v="4"/>
    <x v="1"/>
  </r>
  <r>
    <d v="2013-09-26T00:00:00"/>
    <n v="15.694999694824199"/>
    <n v="15.9685001373291"/>
    <n v="15.6630001068115"/>
    <n v="15.9060001373291"/>
    <n v="15.9060001373291"/>
    <n v="39798000"/>
    <x v="2"/>
    <x v="4"/>
    <x v="1"/>
  </r>
  <r>
    <d v="2013-09-27T00:00:00"/>
    <n v="15.845999717712401"/>
    <n v="15.860500335693301"/>
    <n v="15.6674995422363"/>
    <n v="15.8004999160766"/>
    <n v="15.8004999160766"/>
    <n v="33150000"/>
    <x v="3"/>
    <x v="4"/>
    <x v="1"/>
  </r>
  <r>
    <d v="2013-09-30T00:00:00"/>
    <n v="15.6704998016357"/>
    <n v="15.765500068664499"/>
    <n v="15.553000450134199"/>
    <n v="15.631999969482401"/>
    <n v="15.631999969482401"/>
    <n v="32472000"/>
    <x v="4"/>
    <x v="4"/>
    <x v="1"/>
  </r>
  <r>
    <d v="2013-10-01T00:00:00"/>
    <n v="15.711000442504799"/>
    <n v="16.049999237060501"/>
    <n v="15.682499885559"/>
    <n v="16.047500610351499"/>
    <n v="16.047500610351499"/>
    <n v="47928000"/>
    <x v="0"/>
    <x v="5"/>
    <x v="1"/>
  </r>
  <r>
    <d v="2013-10-02T00:00:00"/>
    <n v="15.902000427246"/>
    <n v="16.086500167846602"/>
    <n v="15.876000404357899"/>
    <n v="16.025499343871999"/>
    <n v="16.025499343871999"/>
    <n v="44348000"/>
    <x v="1"/>
    <x v="5"/>
    <x v="1"/>
  </r>
  <r>
    <d v="2013-10-03T00:00:00"/>
    <n v="16.0195007324218"/>
    <n v="16.145999908447202"/>
    <n v="15.6510000228881"/>
    <n v="15.7379999160766"/>
    <n v="15.7379999160766"/>
    <n v="53496000"/>
    <x v="2"/>
    <x v="5"/>
    <x v="1"/>
  </r>
  <r>
    <d v="2013-10-04T00:00:00"/>
    <n v="15.7565002441406"/>
    <n v="15.9600000381469"/>
    <n v="15.630999565124499"/>
    <n v="15.9519996643066"/>
    <n v="15.9519996643066"/>
    <n v="36300000"/>
    <x v="3"/>
    <x v="5"/>
    <x v="1"/>
  </r>
  <r>
    <d v="2013-10-07T00:00:00"/>
    <n v="15.762000083923301"/>
    <n v="15.767000198364199"/>
    <n v="15.487000465393001"/>
    <n v="15.5015001296997"/>
    <n v="15.5015001296997"/>
    <n v="41664000"/>
    <x v="4"/>
    <x v="5"/>
    <x v="1"/>
  </r>
  <r>
    <d v="2013-10-08T00:00:00"/>
    <n v="15.574999809265099"/>
    <n v="15.577500343322701"/>
    <n v="15.013500213623001"/>
    <n v="15.1614999771118"/>
    <n v="15.1614999771118"/>
    <n v="63324000"/>
    <x v="0"/>
    <x v="5"/>
    <x v="1"/>
  </r>
  <r>
    <d v="2013-10-09T00:00:00"/>
    <n v="15.1709995269775"/>
    <n v="15.175000190734799"/>
    <n v="14.824999809265099"/>
    <n v="14.9114999771118"/>
    <n v="14.9114999771118"/>
    <n v="64948000"/>
    <x v="1"/>
    <x v="5"/>
    <x v="1"/>
  </r>
  <r>
    <d v="2013-10-10T00:00:00"/>
    <n v="15.231499671936"/>
    <n v="15.3350000381469"/>
    <n v="15.1295003890991"/>
    <n v="15.2585000991821"/>
    <n v="15.2585000991821"/>
    <n v="51102000"/>
    <x v="2"/>
    <x v="5"/>
    <x v="1"/>
  </r>
  <r>
    <d v="2013-10-11T00:00:00"/>
    <n v="15.2384996414184"/>
    <n v="15.546500205993601"/>
    <n v="15.1920003890991"/>
    <n v="15.5445003509521"/>
    <n v="15.5445003509521"/>
    <n v="43262000"/>
    <x v="3"/>
    <x v="5"/>
    <x v="1"/>
  </r>
  <r>
    <d v="2013-10-14T00:00:00"/>
    <n v="15.461000442504799"/>
    <n v="15.582500457763601"/>
    <n v="15.3500003814697"/>
    <n v="15.5349998474121"/>
    <n v="15.5349998474121"/>
    <n v="38782000"/>
    <x v="4"/>
    <x v="5"/>
    <x v="1"/>
  </r>
  <r>
    <d v="2013-10-15T00:00:00"/>
    <n v="15.4934997558593"/>
    <n v="15.5395002365112"/>
    <n v="15.2629995346069"/>
    <n v="15.319999694824199"/>
    <n v="15.319999694824199"/>
    <n v="45222000"/>
    <x v="0"/>
    <x v="5"/>
    <x v="1"/>
  </r>
  <r>
    <d v="2013-10-16T00:00:00"/>
    <n v="15.418999671936"/>
    <n v="15.539999961853001"/>
    <n v="15.2775001525878"/>
    <n v="15.5244998931884"/>
    <n v="15.5244998931884"/>
    <n v="43414000"/>
    <x v="1"/>
    <x v="5"/>
    <x v="1"/>
  </r>
  <r>
    <d v="2013-10-17T00:00:00"/>
    <n v="15.3535003662109"/>
    <n v="15.550000190734799"/>
    <n v="15.262000083923301"/>
    <n v="15.538499832153301"/>
    <n v="15.538499832153301"/>
    <n v="52968000"/>
    <x v="2"/>
    <x v="5"/>
    <x v="1"/>
  </r>
  <r>
    <d v="2013-10-18T00:00:00"/>
    <n v="15.968000411987299"/>
    <n v="16.594499588012599"/>
    <n v="15.837499618530201"/>
    <n v="16.4465007781982"/>
    <n v="16.4465007781982"/>
    <n v="119396000"/>
    <x v="3"/>
    <x v="5"/>
    <x v="1"/>
  </r>
  <r>
    <d v="2013-10-21T00:00:00"/>
    <n v="16.494499206542901"/>
    <n v="16.5"/>
    <n v="16.190000534057599"/>
    <n v="16.32200050354"/>
    <n v="16.32200050354"/>
    <n v="50446000"/>
    <x v="4"/>
    <x v="5"/>
    <x v="1"/>
  </r>
  <r>
    <d v="2013-10-22T00:00:00"/>
    <n v="16.385999679565401"/>
    <n v="16.8554992675781"/>
    <n v="16.284000396728501"/>
    <n v="16.627000808715799"/>
    <n v="16.627000808715799"/>
    <n v="78710000"/>
    <x v="0"/>
    <x v="5"/>
    <x v="1"/>
  </r>
  <r>
    <d v="2013-10-23T00:00:00"/>
    <n v="16.541999816894499"/>
    <n v="16.586000442504801"/>
    <n v="16.202999114990199"/>
    <n v="16.337999343871999"/>
    <n v="16.337999343871999"/>
    <n v="56364000"/>
    <x v="1"/>
    <x v="5"/>
    <x v="1"/>
  </r>
  <r>
    <d v="2013-10-24T00:00:00"/>
    <n v="16.481500625610298"/>
    <n v="16.632499694824201"/>
    <n v="16.337499618530199"/>
    <n v="16.610500335693299"/>
    <n v="16.610500335693299"/>
    <n v="117694000"/>
    <x v="2"/>
    <x v="5"/>
    <x v="1"/>
  </r>
  <r>
    <d v="2013-10-25T00:00:00"/>
    <n v="17.9300003051757"/>
    <n v="18.420000076293899"/>
    <n v="17.6310005187988"/>
    <n v="18.169500350952099"/>
    <n v="18.169500350952099"/>
    <n v="240736000"/>
    <x v="3"/>
    <x v="5"/>
    <x v="1"/>
  </r>
  <r>
    <d v="2013-10-28T00:00:00"/>
    <n v="17.9960002899169"/>
    <n v="18.1375007629394"/>
    <n v="17.860000610351499"/>
    <n v="17.908000946044901"/>
    <n v="17.908000946044901"/>
    <n v="72716000"/>
    <x v="4"/>
    <x v="5"/>
    <x v="1"/>
  </r>
  <r>
    <d v="2013-10-29T00:00:00"/>
    <n v="17.947999954223601"/>
    <n v="18.1445007324218"/>
    <n v="17.814500808715799"/>
    <n v="18.1350002288818"/>
    <n v="18.1350002288818"/>
    <n v="43708000"/>
    <x v="0"/>
    <x v="5"/>
    <x v="1"/>
  </r>
  <r>
    <d v="2013-10-30T00:00:00"/>
    <n v="18.1310005187988"/>
    <n v="18.25"/>
    <n v="17.932500839233398"/>
    <n v="18.054000854492099"/>
    <n v="18.054000854492099"/>
    <n v="90044000"/>
    <x v="1"/>
    <x v="5"/>
    <x v="1"/>
  </r>
  <r>
    <d v="2013-10-31T00:00:00"/>
    <n v="18.086500167846602"/>
    <n v="18.299999237060501"/>
    <n v="17.9500007629394"/>
    <n v="18.201499938964801"/>
    <n v="18.201499938964801"/>
    <n v="49336000"/>
    <x v="2"/>
    <x v="5"/>
    <x v="1"/>
  </r>
  <r>
    <d v="2013-11-01T00:00:00"/>
    <n v="18.281499862670898"/>
    <n v="18.288499832153299"/>
    <n v="17.8050003051757"/>
    <n v="17.9500007629394"/>
    <n v="17.9500007629394"/>
    <n v="66620000"/>
    <x v="3"/>
    <x v="6"/>
    <x v="1"/>
  </r>
  <r>
    <d v="2013-11-04T00:00:00"/>
    <n v="18.0060005187988"/>
    <n v="18.049999237060501"/>
    <n v="17.7199993133544"/>
    <n v="17.9370002746582"/>
    <n v="17.9370002746582"/>
    <n v="38768000"/>
    <x v="4"/>
    <x v="6"/>
    <x v="1"/>
  </r>
  <r>
    <d v="2013-11-05T00:00:00"/>
    <n v="17.839000701904201"/>
    <n v="18.008499145507798"/>
    <n v="17.742000579833899"/>
    <n v="17.944499969482401"/>
    <n v="17.944499969482401"/>
    <n v="40142000"/>
    <x v="0"/>
    <x v="6"/>
    <x v="1"/>
  </r>
  <r>
    <d v="2013-11-06T00:00:00"/>
    <n v="18.022499084472599"/>
    <n v="18.143499374389599"/>
    <n v="17.725000381469702"/>
    <n v="17.8090000152587"/>
    <n v="17.8090000152587"/>
    <n v="45646000"/>
    <x v="1"/>
    <x v="6"/>
    <x v="1"/>
  </r>
  <r>
    <d v="2013-11-07T00:00:00"/>
    <n v="17.7929992675781"/>
    <n v="17.895000457763601"/>
    <n v="17.093999862670898"/>
    <n v="17.177999496459901"/>
    <n v="17.177999496459901"/>
    <n v="84926000"/>
    <x v="2"/>
    <x v="6"/>
    <x v="1"/>
  </r>
  <r>
    <d v="2013-11-08T00:00:00"/>
    <n v="17.297500610351499"/>
    <n v="17.5524997711181"/>
    <n v="17.201999664306602"/>
    <n v="17.515499114990199"/>
    <n v="17.515499114990199"/>
    <n v="53138000"/>
    <x v="3"/>
    <x v="6"/>
    <x v="1"/>
  </r>
  <r>
    <d v="2013-11-11T00:00:00"/>
    <n v="17.529499053955"/>
    <n v="17.768499374389599"/>
    <n v="17.402999877929599"/>
    <n v="17.718999862670898"/>
    <n v="17.718999862670898"/>
    <n v="45234000"/>
    <x v="4"/>
    <x v="6"/>
    <x v="1"/>
  </r>
  <r>
    <d v="2013-11-12T00:00:00"/>
    <n v="17.649499893188398"/>
    <n v="17.774000167846602"/>
    <n v="17.364000320434499"/>
    <n v="17.476499557495099"/>
    <n v="17.476499557495099"/>
    <n v="46862000"/>
    <x v="0"/>
    <x v="6"/>
    <x v="1"/>
  </r>
  <r>
    <d v="2013-11-13T00:00:00"/>
    <n v="17.370000839233398"/>
    <n v="17.811000823974599"/>
    <n v="17.284000396728501"/>
    <n v="17.811000823974599"/>
    <n v="17.811000823974599"/>
    <n v="55466000"/>
    <x v="1"/>
    <x v="6"/>
    <x v="1"/>
  </r>
  <r>
    <d v="2013-11-14T00:00:00"/>
    <n v="17.869499206542901"/>
    <n v="18.44700050354"/>
    <n v="17.8215007781982"/>
    <n v="18.370000839233398"/>
    <n v="18.370000839233398"/>
    <n v="83196000"/>
    <x v="2"/>
    <x v="6"/>
    <x v="1"/>
  </r>
  <r>
    <d v="2013-11-15T00:00:00"/>
    <n v="18.3815002441406"/>
    <n v="18.645000457763601"/>
    <n v="18.277500152587798"/>
    <n v="18.458499908447202"/>
    <n v="18.458499908447202"/>
    <n v="89832000"/>
    <x v="3"/>
    <x v="6"/>
    <x v="1"/>
  </r>
  <r>
    <d v="2013-11-18T00:00:00"/>
    <n v="18.513999938964801"/>
    <n v="18.6744995117187"/>
    <n v="18.2334995269775"/>
    <n v="18.3090000152587"/>
    <n v="18.3090000152587"/>
    <n v="54748000"/>
    <x v="4"/>
    <x v="6"/>
    <x v="1"/>
  </r>
  <r>
    <d v="2013-11-19T00:00:00"/>
    <n v="18.291000366210898"/>
    <n v="18.438999176025298"/>
    <n v="18.125"/>
    <n v="18.246999740600501"/>
    <n v="18.246999740600501"/>
    <n v="38096000"/>
    <x v="0"/>
    <x v="6"/>
    <x v="1"/>
  </r>
  <r>
    <d v="2013-11-20T00:00:00"/>
    <n v="18.3780002593994"/>
    <n v="18.3780002593994"/>
    <n v="18.022499084472599"/>
    <n v="18.1284999847412"/>
    <n v="18.1284999847412"/>
    <n v="35430000"/>
    <x v="1"/>
    <x v="6"/>
    <x v="1"/>
  </r>
  <r>
    <d v="2013-11-21T00:00:00"/>
    <n v="18.202499389648398"/>
    <n v="18.462499618530199"/>
    <n v="18.165000915527301"/>
    <n v="18.445999145507798"/>
    <n v="18.445999145507798"/>
    <n v="39292000"/>
    <x v="2"/>
    <x v="6"/>
    <x v="1"/>
  </r>
  <r>
    <d v="2013-11-22T00:00:00"/>
    <n v="18.5"/>
    <n v="18.725000381469702"/>
    <n v="18.3155002593994"/>
    <n v="18.615499496459901"/>
    <n v="18.615499496459901"/>
    <n v="59310000"/>
    <x v="3"/>
    <x v="6"/>
    <x v="1"/>
  </r>
  <r>
    <d v="2013-11-25T00:00:00"/>
    <n v="18.6909999847412"/>
    <n v="18.889499664306602"/>
    <n v="18.659000396728501"/>
    <n v="18.8320007324218"/>
    <n v="18.8320007324218"/>
    <n v="59446000"/>
    <x v="4"/>
    <x v="6"/>
    <x v="1"/>
  </r>
  <r>
    <d v="2013-11-26T00:00:00"/>
    <n v="18.880500793456999"/>
    <n v="19.125"/>
    <n v="18.740999221801701"/>
    <n v="19.0685005187988"/>
    <n v="19.0685005187988"/>
    <n v="54488000"/>
    <x v="0"/>
    <x v="6"/>
    <x v="1"/>
  </r>
  <r>
    <d v="2013-11-27T00:00:00"/>
    <n v="19.174999237060501"/>
    <n v="19.350000381469702"/>
    <n v="19.130500793456999"/>
    <n v="19.335500717163001"/>
    <n v="19.335500717163001"/>
    <n v="45394000"/>
    <x v="1"/>
    <x v="6"/>
    <x v="1"/>
  </r>
  <r>
    <d v="2013-11-29T00:00:00"/>
    <n v="19.454999923706001"/>
    <n v="19.704999923706001"/>
    <n v="19.4309997558593"/>
    <n v="19.6809997558593"/>
    <n v="19.6809997558593"/>
    <n v="48120000"/>
    <x v="3"/>
    <x v="6"/>
    <x v="1"/>
  </r>
  <r>
    <d v="2013-12-02T00:00:00"/>
    <n v="19.9500007629394"/>
    <n v="19.9500007629394"/>
    <n v="19.454999923706001"/>
    <n v="19.6149997711181"/>
    <n v="19.6149997711181"/>
    <n v="94280000"/>
    <x v="4"/>
    <x v="7"/>
    <x v="1"/>
  </r>
  <r>
    <d v="2013-12-03T00:00:00"/>
    <n v="19.505500793456999"/>
    <n v="19.547500610351499"/>
    <n v="19.155000686645501"/>
    <n v="19.2329998016357"/>
    <n v="19.2329998016357"/>
    <n v="74058000"/>
    <x v="0"/>
    <x v="7"/>
    <x v="1"/>
  </r>
  <r>
    <d v="2013-12-04T00:00:00"/>
    <n v="19.174999237060501"/>
    <n v="19.484500885009702"/>
    <n v="19.074499130248999"/>
    <n v="19.298000335693299"/>
    <n v="19.298000335693299"/>
    <n v="47106000"/>
    <x v="1"/>
    <x v="7"/>
    <x v="1"/>
  </r>
  <r>
    <d v="2013-12-05T00:00:00"/>
    <n v="19.332500457763601"/>
    <n v="19.332500457763601"/>
    <n v="19.0685005187988"/>
    <n v="19.224500656127901"/>
    <n v="19.224500656127901"/>
    <n v="38130000"/>
    <x v="2"/>
    <x v="7"/>
    <x v="1"/>
  </r>
  <r>
    <d v="2013-12-06T00:00:00"/>
    <n v="19.4174995422363"/>
    <n v="19.4174995422363"/>
    <n v="19.191499710083001"/>
    <n v="19.347499847412099"/>
    <n v="19.347499847412099"/>
    <n v="39694000"/>
    <x v="3"/>
    <x v="7"/>
    <x v="1"/>
  </r>
  <r>
    <d v="2013-12-09T00:00:00"/>
    <n v="19.405500411987301"/>
    <n v="19.410499572753899"/>
    <n v="19.1284999847412"/>
    <n v="19.244499206542901"/>
    <n v="19.244499206542901"/>
    <n v="55236000"/>
    <x v="4"/>
    <x v="7"/>
    <x v="1"/>
  </r>
  <r>
    <d v="2013-12-10T00:00:00"/>
    <n v="19.1870002746582"/>
    <n v="19.452999114990199"/>
    <n v="19.1509990692138"/>
    <n v="19.388999938964801"/>
    <n v="19.388999938964801"/>
    <n v="54736000"/>
    <x v="0"/>
    <x v="7"/>
    <x v="1"/>
  </r>
  <r>
    <d v="2013-12-11T00:00:00"/>
    <n v="19.367000579833899"/>
    <n v="19.448999404907202"/>
    <n v="19.100000381469702"/>
    <n v="19.109500885009702"/>
    <n v="19.109500885009702"/>
    <n v="49026000"/>
    <x v="1"/>
    <x v="7"/>
    <x v="1"/>
  </r>
  <r>
    <d v="2013-12-12T00:00:00"/>
    <n v="19.062999725341701"/>
    <n v="19.25"/>
    <n v="18.975000381469702"/>
    <n v="19.0625"/>
    <n v="19.0625"/>
    <n v="42474000"/>
    <x v="2"/>
    <x v="7"/>
    <x v="1"/>
  </r>
  <r>
    <d v="2013-12-13T00:00:00"/>
    <n v="19.2660007476806"/>
    <n v="19.471000671386701"/>
    <n v="19.190000534057599"/>
    <n v="19.211999893188398"/>
    <n v="19.211999893188398"/>
    <n v="60500000"/>
    <x v="3"/>
    <x v="7"/>
    <x v="1"/>
  </r>
  <r>
    <d v="2013-12-16T00:00:00"/>
    <n v="19.251499176025298"/>
    <n v="19.584999084472599"/>
    <n v="19.25"/>
    <n v="19.448499679565401"/>
    <n v="19.448499679565401"/>
    <n v="45034000"/>
    <x v="4"/>
    <x v="7"/>
    <x v="1"/>
  </r>
  <r>
    <d v="2013-12-17T00:00:00"/>
    <n v="19.5324993133544"/>
    <n v="19.568000793456999"/>
    <n v="19.3250007629394"/>
    <n v="19.382499694824201"/>
    <n v="19.382499694824201"/>
    <n v="46878000"/>
    <x v="0"/>
    <x v="7"/>
    <x v="1"/>
  </r>
  <r>
    <d v="2013-12-18T00:00:00"/>
    <n v="19.461500167846602"/>
    <n v="19.815000534057599"/>
    <n v="19.155000686645501"/>
    <n v="19.798000335693299"/>
    <n v="19.798000335693299"/>
    <n v="69782000"/>
    <x v="1"/>
    <x v="7"/>
    <x v="1"/>
  </r>
  <r>
    <d v="2013-12-19T00:00:00"/>
    <n v="19.7134990692138"/>
    <n v="19.8645000457763"/>
    <n v="19.629999160766602"/>
    <n v="19.75950050354"/>
    <n v="19.75950050354"/>
    <n v="48544000"/>
    <x v="2"/>
    <x v="7"/>
    <x v="1"/>
  </r>
  <r>
    <d v="2013-12-20T00:00:00"/>
    <n v="19.827499389648398"/>
    <n v="20.236000061035099"/>
    <n v="19.788999557495099"/>
    <n v="20.110000610351499"/>
    <n v="20.110000610351499"/>
    <n v="100678000"/>
    <x v="3"/>
    <x v="7"/>
    <x v="1"/>
  </r>
  <r>
    <d v="2013-12-23T00:00:00"/>
    <n v="20.184499740600501"/>
    <n v="20.25"/>
    <n v="19.959999084472599"/>
    <n v="20.145999908447202"/>
    <n v="20.145999908447202"/>
    <n v="53190000"/>
    <x v="4"/>
    <x v="7"/>
    <x v="1"/>
  </r>
  <r>
    <d v="2013-12-24T00:00:00"/>
    <n v="20.125999450683501"/>
    <n v="20.186000823974599"/>
    <n v="19.8185005187988"/>
    <n v="19.959999084472599"/>
    <n v="19.959999084472599"/>
    <n v="27608000"/>
    <x v="0"/>
    <x v="7"/>
    <x v="1"/>
  </r>
  <r>
    <d v="2013-12-26T00:00:00"/>
    <n v="20.089500427246001"/>
    <n v="20.225999832153299"/>
    <n v="19.840499877929599"/>
    <n v="20.219499588012599"/>
    <n v="20.219499588012599"/>
    <n v="37370000"/>
    <x v="2"/>
    <x v="7"/>
    <x v="1"/>
  </r>
  <r>
    <d v="2013-12-27T00:00:00"/>
    <n v="20.232500076293899"/>
    <n v="20.281499862670898"/>
    <n v="19.8125"/>
    <n v="19.9039993286132"/>
    <n v="19.9039993286132"/>
    <n v="39738000"/>
    <x v="3"/>
    <x v="7"/>
    <x v="1"/>
  </r>
  <r>
    <d v="2013-12-30T00:00:00"/>
    <n v="19.970500946044901"/>
    <n v="19.9960002899169"/>
    <n v="19.622499465942301"/>
    <n v="19.668500900268501"/>
    <n v="19.668500900268501"/>
    <n v="49742000"/>
    <x v="4"/>
    <x v="7"/>
    <x v="1"/>
  </r>
  <r>
    <d v="2013-12-31T00:00:00"/>
    <n v="19.729000091552699"/>
    <n v="19.941499710083001"/>
    <n v="19.690000534057599"/>
    <n v="19.939500808715799"/>
    <n v="19.939500808715799"/>
    <n v="39930000"/>
    <x v="0"/>
    <x v="7"/>
    <x v="1"/>
  </r>
  <r>
    <d v="2014-01-02T00:00:00"/>
    <n v="19.940000534057599"/>
    <n v="19.968000411987301"/>
    <n v="19.701000213623001"/>
    <n v="19.898500442504801"/>
    <n v="19.898500442504801"/>
    <n v="42756000"/>
    <x v="2"/>
    <x v="8"/>
    <x v="2"/>
  </r>
  <r>
    <d v="2014-01-03T00:00:00"/>
    <n v="19.9144992828369"/>
    <n v="20.135499954223601"/>
    <n v="19.811000823974599"/>
    <n v="19.82200050354"/>
    <n v="19.82200050354"/>
    <n v="44204000"/>
    <x v="3"/>
    <x v="8"/>
    <x v="2"/>
  </r>
  <r>
    <d v="2014-01-06T00:00:00"/>
    <n v="19.7924995422363"/>
    <n v="19.850000381469702"/>
    <n v="19.4209995269775"/>
    <n v="19.681499481201101"/>
    <n v="19.681499481201101"/>
    <n v="63412000"/>
    <x v="4"/>
    <x v="8"/>
    <x v="2"/>
  </r>
  <r>
    <d v="2014-01-07T00:00:00"/>
    <n v="19.752000808715799"/>
    <n v="19.923500061035099"/>
    <n v="19.714500427246001"/>
    <n v="19.901500701904201"/>
    <n v="19.901500701904201"/>
    <n v="38320000"/>
    <x v="0"/>
    <x v="8"/>
    <x v="2"/>
  </r>
  <r>
    <d v="2014-01-08T00:00:00"/>
    <n v="19.923500061035099"/>
    <n v="20.149999618530199"/>
    <n v="19.8020000457763"/>
    <n v="20.096000671386701"/>
    <n v="20.096000671386701"/>
    <n v="46330000"/>
    <x v="1"/>
    <x v="8"/>
    <x v="2"/>
  </r>
  <r>
    <d v="2014-01-09T00:00:00"/>
    <n v="20.185499191284102"/>
    <n v="20.344499588012599"/>
    <n v="19.922000885009702"/>
    <n v="20.050500869750898"/>
    <n v="20.050500869750898"/>
    <n v="42060000"/>
    <x v="2"/>
    <x v="8"/>
    <x v="2"/>
  </r>
  <r>
    <d v="2014-01-10T00:00:00"/>
    <n v="20.126499176025298"/>
    <n v="20.187999725341701"/>
    <n v="19.690000534057599"/>
    <n v="19.882999420166001"/>
    <n v="19.882999420166001"/>
    <n v="53590000"/>
    <x v="3"/>
    <x v="8"/>
    <x v="2"/>
  </r>
  <r>
    <d v="2014-01-13T00:00:00"/>
    <n v="19.899000167846602"/>
    <n v="19.989000320434499"/>
    <n v="19.422500610351499"/>
    <n v="19.5489997863769"/>
    <n v="19.5489997863769"/>
    <n v="56898000"/>
    <x v="4"/>
    <x v="8"/>
    <x v="2"/>
  </r>
  <r>
    <d v="2014-01-14T00:00:00"/>
    <n v="19.606500625610298"/>
    <n v="19.931499481201101"/>
    <n v="19.564500808715799"/>
    <n v="19.877000808715799"/>
    <n v="19.877000808715799"/>
    <n v="46802000"/>
    <x v="0"/>
    <x v="8"/>
    <x v="2"/>
  </r>
  <r>
    <d v="2014-01-15T00:00:00"/>
    <n v="19.94700050354"/>
    <n v="19.965499877929599"/>
    <n v="19.626499176025298"/>
    <n v="19.793500900268501"/>
    <n v="19.793500900268501"/>
    <n v="53566000"/>
    <x v="1"/>
    <x v="8"/>
    <x v="2"/>
  </r>
  <r>
    <d v="2014-01-16T00:00:00"/>
    <n v="19.6840000152587"/>
    <n v="19.964500427246001"/>
    <n v="19.470500946044901"/>
    <n v="19.790000915527301"/>
    <n v="19.790000915527301"/>
    <n v="52024000"/>
    <x v="2"/>
    <x v="8"/>
    <x v="2"/>
  </r>
  <r>
    <d v="2014-01-17T00:00:00"/>
    <n v="19.712999343871999"/>
    <n v="20.1744995117187"/>
    <n v="19.683000564575099"/>
    <n v="19.9804992675781"/>
    <n v="19.9804992675781"/>
    <n v="90102000"/>
    <x v="3"/>
    <x v="8"/>
    <x v="2"/>
  </r>
  <r>
    <d v="2014-01-21T00:00:00"/>
    <n v="20.149999618530199"/>
    <n v="20.389999389648398"/>
    <n v="20.079999923706001"/>
    <n v="20.352500915527301"/>
    <n v="20.352500915527301"/>
    <n v="62442000"/>
    <x v="0"/>
    <x v="8"/>
    <x v="2"/>
  </r>
  <r>
    <d v="2014-01-22T00:00:00"/>
    <n v="20.399999618530199"/>
    <n v="20.402999877929599"/>
    <n v="20.100000381469702"/>
    <n v="20.2269992828369"/>
    <n v="20.2269992828369"/>
    <n v="41210000"/>
    <x v="1"/>
    <x v="8"/>
    <x v="2"/>
  </r>
  <r>
    <d v="2014-01-23T00:00:00"/>
    <n v="20.049999237060501"/>
    <n v="20.3085002899169"/>
    <n v="19.889499664306602"/>
    <n v="19.9934997558593"/>
    <n v="19.9934997558593"/>
    <n v="60508000"/>
    <x v="2"/>
    <x v="8"/>
    <x v="2"/>
  </r>
  <r>
    <d v="2014-01-24T00:00:00"/>
    <n v="19.908000946044901"/>
    <n v="20.0100002288818"/>
    <n v="19.363500595092699"/>
    <n v="19.379999160766602"/>
    <n v="19.379999160766602"/>
    <n v="89168000"/>
    <x v="3"/>
    <x v="8"/>
    <x v="2"/>
  </r>
  <r>
    <d v="2014-01-27T00:00:00"/>
    <n v="19.524999618530199"/>
    <n v="19.704999923706001"/>
    <n v="19.024499893188398"/>
    <n v="19.313999176025298"/>
    <n v="19.313999176025298"/>
    <n v="78736000"/>
    <x v="4"/>
    <x v="8"/>
    <x v="2"/>
  </r>
  <r>
    <d v="2014-01-28T00:00:00"/>
    <n v="19.370000839233398"/>
    <n v="19.7369995117187"/>
    <n v="19.356000900268501"/>
    <n v="19.721500396728501"/>
    <n v="19.721500396728501"/>
    <n v="57890000"/>
    <x v="0"/>
    <x v="8"/>
    <x v="2"/>
  </r>
  <r>
    <d v="2014-01-29T00:00:00"/>
    <n v="19.6079998016357"/>
    <n v="19.642499923706001"/>
    <n v="19.162000656127901"/>
    <n v="19.209999084472599"/>
    <n v="19.209999084472599"/>
    <n v="67646000"/>
    <x v="1"/>
    <x v="8"/>
    <x v="2"/>
  </r>
  <r>
    <d v="2014-01-30T00:00:00"/>
    <n v="19.688499450683501"/>
    <n v="20.3125"/>
    <n v="19.3850002288818"/>
    <n v="20.150499343871999"/>
    <n v="20.150499343871999"/>
    <n v="209478000"/>
    <x v="2"/>
    <x v="8"/>
    <x v="2"/>
  </r>
  <r>
    <d v="2014-01-31T00:00:00"/>
    <n v="18.587999343871999"/>
    <n v="18.772499084472599"/>
    <n v="17.8880004882812"/>
    <n v="17.934499740600501"/>
    <n v="17.934499740600501"/>
    <n v="323096000"/>
    <x v="3"/>
    <x v="8"/>
    <x v="2"/>
  </r>
  <r>
    <d v="2014-02-03T00:00:00"/>
    <n v="17.948999404907202"/>
    <n v="18.0424995422363"/>
    <n v="17.004999160766602"/>
    <n v="17.307500839233398"/>
    <n v="17.307500839233398"/>
    <n v="205616000"/>
    <x v="4"/>
    <x v="9"/>
    <x v="2"/>
  </r>
  <r>
    <d v="2014-02-04T00:00:00"/>
    <n v="17.479499816894499"/>
    <n v="17.7000007629394"/>
    <n v="17.201000213623001"/>
    <n v="17.397499084472599"/>
    <n v="17.397499084472599"/>
    <n v="96258000"/>
    <x v="0"/>
    <x v="9"/>
    <x v="2"/>
  </r>
  <r>
    <d v="2014-02-05T00:00:00"/>
    <n v="17.299999237060501"/>
    <n v="17.468500137329102"/>
    <n v="16.886499404907202"/>
    <n v="17.3225002288818"/>
    <n v="17.3225002288818"/>
    <n v="88708000"/>
    <x v="1"/>
    <x v="9"/>
    <x v="2"/>
  </r>
  <r>
    <d v="2014-02-06T00:00:00"/>
    <n v="17.370000839233398"/>
    <n v="17.740999221801701"/>
    <n v="17.370000839233398"/>
    <n v="17.729499816894499"/>
    <n v="17.729499816894499"/>
    <n v="66714000"/>
    <x v="2"/>
    <x v="9"/>
    <x v="2"/>
  </r>
  <r>
    <d v="2014-02-07T00:00:00"/>
    <n v="17.948999404907202"/>
    <n v="18.090000152587798"/>
    <n v="17.6245002746582"/>
    <n v="18.054000854492099"/>
    <n v="18.054000854492099"/>
    <n v="86610000"/>
    <x v="3"/>
    <x v="9"/>
    <x v="2"/>
  </r>
  <r>
    <d v="2014-02-10T00:00:00"/>
    <n v="18.080499649047798"/>
    <n v="18.25"/>
    <n v="17.967500686645501"/>
    <n v="18.043500900268501"/>
    <n v="18.043500900268501"/>
    <n v="68994000"/>
    <x v="4"/>
    <x v="9"/>
    <x v="2"/>
  </r>
  <r>
    <d v="2014-02-11T00:00:00"/>
    <n v="18.091999053955"/>
    <n v="18.1805000305175"/>
    <n v="17.8125"/>
    <n v="18.089500427246001"/>
    <n v="18.089500427246001"/>
    <n v="64442000"/>
    <x v="0"/>
    <x v="9"/>
    <x v="2"/>
  </r>
  <r>
    <d v="2014-02-12T00:00:00"/>
    <n v="17.8215007781982"/>
    <n v="17.8875007629394"/>
    <n v="17.3159999847412"/>
    <n v="17.462499618530199"/>
    <n v="17.462499618530199"/>
    <n v="131754000"/>
    <x v="1"/>
    <x v="9"/>
    <x v="2"/>
  </r>
  <r>
    <d v="2014-02-13T00:00:00"/>
    <n v="17.3850002288818"/>
    <n v="17.860000610351499"/>
    <n v="17.3250007629394"/>
    <n v="17.860000610351499"/>
    <n v="17.860000610351499"/>
    <n v="83500000"/>
    <x v="2"/>
    <x v="9"/>
    <x v="2"/>
  </r>
  <r>
    <d v="2014-02-14T00:00:00"/>
    <n v="17.966999053955"/>
    <n v="17.966999053955"/>
    <n v="17.6674995422363"/>
    <n v="17.8675003051757"/>
    <n v="17.8675003051757"/>
    <n v="70404000"/>
    <x v="3"/>
    <x v="9"/>
    <x v="2"/>
  </r>
  <r>
    <d v="2014-02-18T00:00:00"/>
    <n v="17.763999938964801"/>
    <n v="17.786500930786101"/>
    <n v="17.472499847412099"/>
    <n v="17.682500839233398"/>
    <n v="17.682500839233398"/>
    <n v="99960000"/>
    <x v="0"/>
    <x v="9"/>
    <x v="2"/>
  </r>
  <r>
    <d v="2014-02-19T00:00:00"/>
    <n v="17.631999969482401"/>
    <n v="17.7269992828369"/>
    <n v="17.3050003051757"/>
    <n v="17.368999481201101"/>
    <n v="17.368999481201101"/>
    <n v="83362000"/>
    <x v="1"/>
    <x v="9"/>
    <x v="2"/>
  </r>
  <r>
    <d v="2014-02-20T00:00:00"/>
    <n v="17.440000534057599"/>
    <n v="17.523000717163001"/>
    <n v="17.218999862670898"/>
    <n v="17.4899997711181"/>
    <n v="17.4899997711181"/>
    <n v="69856000"/>
    <x v="2"/>
    <x v="9"/>
    <x v="2"/>
  </r>
  <r>
    <d v="2014-02-21T00:00:00"/>
    <n v="17.621999740600501"/>
    <n v="17.7070007324218"/>
    <n v="17.337499618530199"/>
    <n v="17.337999343871999"/>
    <n v="17.337999343871999"/>
    <n v="84200000"/>
    <x v="3"/>
    <x v="9"/>
    <x v="2"/>
  </r>
  <r>
    <d v="2014-02-24T00:00:00"/>
    <n v="17.25950050354"/>
    <n v="17.649999618530199"/>
    <n v="17.1644992828369"/>
    <n v="17.589000701904201"/>
    <n v="17.589000701904201"/>
    <n v="72894000"/>
    <x v="4"/>
    <x v="9"/>
    <x v="2"/>
  </r>
  <r>
    <d v="2014-02-25T00:00:00"/>
    <n v="17.649999618530199"/>
    <n v="18.054000854492099"/>
    <n v="17.579000473022401"/>
    <n v="17.916000366210898"/>
    <n v="17.916000366210898"/>
    <n v="74728000"/>
    <x v="0"/>
    <x v="9"/>
    <x v="2"/>
  </r>
  <r>
    <d v="2014-02-26T00:00:00"/>
    <n v="17.9930000305175"/>
    <n v="18.237499237060501"/>
    <n v="17.8584995269775"/>
    <n v="17.9899997711181"/>
    <n v="17.9899997711181"/>
    <n v="72442000"/>
    <x v="1"/>
    <x v="9"/>
    <x v="2"/>
  </r>
  <r>
    <d v="2014-02-27T00:00:00"/>
    <n v="17.861000061035099"/>
    <n v="18.029499053955"/>
    <n v="17.774999618530199"/>
    <n v="18.0065002441406"/>
    <n v="18.0065002441406"/>
    <n v="62098000"/>
    <x v="2"/>
    <x v="9"/>
    <x v="2"/>
  </r>
  <r>
    <d v="2014-02-28T00:00:00"/>
    <n v="18.030000686645501"/>
    <n v="18.293500900268501"/>
    <n v="17.854000091552699"/>
    <n v="18.1049995422363"/>
    <n v="18.1049995422363"/>
    <n v="77640000"/>
    <x v="3"/>
    <x v="9"/>
    <x v="2"/>
  </r>
  <r>
    <d v="2014-03-03T00:00:00"/>
    <n v="17.9370002746582"/>
    <n v="18.048000335693299"/>
    <n v="17.724000930786101"/>
    <n v="17.989000320434499"/>
    <n v="17.989000320434499"/>
    <n v="55966000"/>
    <x v="4"/>
    <x v="10"/>
    <x v="2"/>
  </r>
  <r>
    <d v="2014-03-04T00:00:00"/>
    <n v="18.194999694824201"/>
    <n v="18.284000396728501"/>
    <n v="18.122999191284102"/>
    <n v="18.194999694824201"/>
    <n v="18.194999694824201"/>
    <n v="54088000"/>
    <x v="0"/>
    <x v="10"/>
    <x v="2"/>
  </r>
  <r>
    <d v="2014-03-05T00:00:00"/>
    <n v="18.206499099731399"/>
    <n v="18.636499404907202"/>
    <n v="18.194999694824201"/>
    <n v="18.6184997558593"/>
    <n v="18.6184997558593"/>
    <n v="76966000"/>
    <x v="1"/>
    <x v="10"/>
    <x v="2"/>
  </r>
  <r>
    <d v="2014-03-06T00:00:00"/>
    <n v="18.702499389648398"/>
    <n v="18.766500473022401"/>
    <n v="18.444999694824201"/>
    <n v="18.6079998016357"/>
    <n v="18.6079998016357"/>
    <n v="58532000"/>
    <x v="2"/>
    <x v="10"/>
    <x v="2"/>
  </r>
  <r>
    <d v="2014-03-07T00:00:00"/>
    <n v="18.729000091552699"/>
    <n v="18.7495002746582"/>
    <n v="18.476499557495099"/>
    <n v="18.603000640869102"/>
    <n v="18.603000640869102"/>
    <n v="45596000"/>
    <x v="3"/>
    <x v="10"/>
    <x v="2"/>
  </r>
  <r>
    <d v="2014-03-10T00:00:00"/>
    <n v="18.63450050354"/>
    <n v="18.636499404907202"/>
    <n v="18.350000381469702"/>
    <n v="18.526500701904201"/>
    <n v="18.526500701904201"/>
    <n v="42116000"/>
    <x v="4"/>
    <x v="10"/>
    <x v="2"/>
  </r>
  <r>
    <d v="2014-03-11T00:00:00"/>
    <n v="18.5494995117187"/>
    <n v="18.639999389648398"/>
    <n v="18.364000320434499"/>
    <n v="18.4409999847412"/>
    <n v="18.4409999847412"/>
    <n v="44922000"/>
    <x v="0"/>
    <x v="10"/>
    <x v="2"/>
  </r>
  <r>
    <d v="2014-03-12T00:00:00"/>
    <n v="18.319999694824201"/>
    <n v="18.558000564575099"/>
    <n v="18.1805000305175"/>
    <n v="18.531999588012599"/>
    <n v="18.531999588012599"/>
    <n v="44332000"/>
    <x v="1"/>
    <x v="10"/>
    <x v="2"/>
  </r>
  <r>
    <d v="2014-03-13T00:00:00"/>
    <n v="18.830999374389599"/>
    <n v="19.155500411987301"/>
    <n v="18.4039993286132"/>
    <n v="18.5755004882812"/>
    <n v="18.5755004882812"/>
    <n v="136580000"/>
    <x v="2"/>
    <x v="10"/>
    <x v="2"/>
  </r>
  <r>
    <d v="2014-03-14T00:00:00"/>
    <n v="18.639999389648398"/>
    <n v="18.928499221801701"/>
    <n v="18.577499389648398"/>
    <n v="18.6870002746582"/>
    <n v="18.6870002746582"/>
    <n v="88044000"/>
    <x v="3"/>
    <x v="10"/>
    <x v="2"/>
  </r>
  <r>
    <d v="2014-03-17T00:00:00"/>
    <n v="18.7859992980957"/>
    <n v="18.942499160766602"/>
    <n v="18.743999481201101"/>
    <n v="18.752000808715799"/>
    <n v="18.752000808715799"/>
    <n v="46060000"/>
    <x v="4"/>
    <x v="10"/>
    <x v="2"/>
  </r>
  <r>
    <d v="2014-03-18T00:00:00"/>
    <n v="18.865999221801701"/>
    <n v="18.9500007629394"/>
    <n v="18.75"/>
    <n v="18.938499450683501"/>
    <n v="18.938499450683501"/>
    <n v="49670000"/>
    <x v="0"/>
    <x v="10"/>
    <x v="2"/>
  </r>
  <r>
    <d v="2014-03-19T00:00:00"/>
    <n v="18.938499450683501"/>
    <n v="18.9500007629394"/>
    <n v="18.471000671386701"/>
    <n v="18.661500930786101"/>
    <n v="18.661500930786101"/>
    <n v="52934000"/>
    <x v="1"/>
    <x v="10"/>
    <x v="2"/>
  </r>
  <r>
    <d v="2014-03-20T00:00:00"/>
    <n v="18.531999588012599"/>
    <n v="18.649999618530199"/>
    <n v="18.311000823974599"/>
    <n v="18.448499679565401"/>
    <n v="18.448499679565401"/>
    <n v="51170000"/>
    <x v="2"/>
    <x v="10"/>
    <x v="2"/>
  </r>
  <r>
    <d v="2014-03-21T00:00:00"/>
    <n v="18.549999237060501"/>
    <n v="18.642000198364201"/>
    <n v="17.920000076293899"/>
    <n v="18.031000137329102"/>
    <n v="18.031000137329102"/>
    <n v="108282000"/>
    <x v="3"/>
    <x v="10"/>
    <x v="2"/>
  </r>
  <r>
    <d v="2014-03-24T00:00:00"/>
    <n v="18.004499435424801"/>
    <n v="18.0750007629394"/>
    <n v="17.4300003051757"/>
    <n v="17.592500686645501"/>
    <n v="17.592500686645501"/>
    <n v="97470000"/>
    <x v="4"/>
    <x v="10"/>
    <x v="2"/>
  </r>
  <r>
    <d v="2014-03-25T00:00:00"/>
    <n v="17.701499938964801"/>
    <n v="17.948499679565401"/>
    <n v="17.441999435424801"/>
    <n v="17.735500335693299"/>
    <n v="17.735500335693299"/>
    <n v="88914000"/>
    <x v="0"/>
    <x v="10"/>
    <x v="2"/>
  </r>
  <r>
    <d v="2014-03-26T00:00:00"/>
    <n v="17.856500625610298"/>
    <n v="17.879999160766602"/>
    <n v="17.170000076293899"/>
    <n v="17.1704998016357"/>
    <n v="17.1704998016357"/>
    <n v="82414000"/>
    <x v="1"/>
    <x v="10"/>
    <x v="2"/>
  </r>
  <r>
    <d v="2014-03-27T00:00:00"/>
    <n v="17.1574993133544"/>
    <n v="17.2000007629394"/>
    <n v="16.544000625610298"/>
    <n v="16.923500061035099"/>
    <n v="16.923500061035099"/>
    <n v="115328000"/>
    <x v="2"/>
    <x v="10"/>
    <x v="2"/>
  </r>
  <r>
    <d v="2014-03-28T00:00:00"/>
    <n v="17.002500534057599"/>
    <n v="17.350000381469702"/>
    <n v="16.804000854492099"/>
    <n v="16.9144992828369"/>
    <n v="16.9144992828369"/>
    <n v="79736000"/>
    <x v="3"/>
    <x v="10"/>
    <x v="2"/>
  </r>
  <r>
    <d v="2014-03-31T00:00:00"/>
    <n v="17.120000839233398"/>
    <n v="17.314500808715799"/>
    <n v="16.702999114990199"/>
    <n v="16.8185005187988"/>
    <n v="16.8185005187988"/>
    <n v="85950000"/>
    <x v="4"/>
    <x v="10"/>
    <x v="2"/>
  </r>
  <r>
    <d v="2014-04-01T00:00:00"/>
    <n v="16.904499053955"/>
    <n v="17.221500396728501"/>
    <n v="16.899999618530199"/>
    <n v="17.149499893188398"/>
    <n v="17.149499893188398"/>
    <n v="72002000"/>
    <x v="0"/>
    <x v="11"/>
    <x v="2"/>
  </r>
  <r>
    <d v="2014-04-02T00:00:00"/>
    <n v="17.2994995117187"/>
    <n v="17.415000915527301"/>
    <n v="17.018999099731399"/>
    <n v="17.097999572753899"/>
    <n v="17.097999572753899"/>
    <n v="89510000"/>
    <x v="1"/>
    <x v="11"/>
    <x v="2"/>
  </r>
  <r>
    <d v="2014-04-03T00:00:00"/>
    <n v="17.090999603271399"/>
    <n v="17.125"/>
    <n v="16.423000335693299"/>
    <n v="16.6809997558593"/>
    <n v="16.6809997558593"/>
    <n v="127986000"/>
    <x v="2"/>
    <x v="11"/>
    <x v="2"/>
  </r>
  <r>
    <d v="2014-04-04T00:00:00"/>
    <n v="16.757499694824201"/>
    <n v="16.771999359130799"/>
    <n v="15.780500411987299"/>
    <n v="16.149999618530199"/>
    <n v="16.149999618530199"/>
    <n v="250692000"/>
    <x v="3"/>
    <x v="11"/>
    <x v="2"/>
  </r>
  <r>
    <d v="2014-04-07T00:00:00"/>
    <n v="16.0494995117187"/>
    <n v="16.246999740600501"/>
    <n v="15.656499862670801"/>
    <n v="15.8879995346069"/>
    <n v="15.8879995346069"/>
    <n v="141548000"/>
    <x v="4"/>
    <x v="11"/>
    <x v="2"/>
  </r>
  <r>
    <d v="2014-04-08T00:00:00"/>
    <n v="16.093999862670898"/>
    <n v="16.399999618530199"/>
    <n v="15.921999931335399"/>
    <n v="16.353500366210898"/>
    <n v="16.353500366210898"/>
    <n v="131552000"/>
    <x v="0"/>
    <x v="11"/>
    <x v="2"/>
  </r>
  <r>
    <d v="2014-04-09T00:00:00"/>
    <n v="16.423500061035099"/>
    <n v="16.6089992523193"/>
    <n v="16.125"/>
    <n v="16.590499877929599"/>
    <n v="16.590499877929599"/>
    <n v="101132000"/>
    <x v="1"/>
    <x v="11"/>
    <x v="2"/>
  </r>
  <r>
    <d v="2014-04-10T00:00:00"/>
    <n v="16.530000686645501"/>
    <n v="16.549999237060501"/>
    <n v="15.824999809265099"/>
    <n v="15.855500221252401"/>
    <n v="15.855500221252401"/>
    <n v="122534000"/>
    <x v="2"/>
    <x v="11"/>
    <x v="2"/>
  </r>
  <r>
    <d v="2014-04-11T00:00:00"/>
    <n v="15.699999809265099"/>
    <n v="15.824999809265099"/>
    <n v="15.4750003814697"/>
    <n v="15.5865001678466"/>
    <n v="15.5865001678466"/>
    <n v="145750000"/>
    <x v="3"/>
    <x v="11"/>
    <x v="2"/>
  </r>
  <r>
    <d v="2014-04-14T00:00:00"/>
    <n v="15.8835000991821"/>
    <n v="16.024000167846602"/>
    <n v="15.5640001296997"/>
    <n v="15.7954998016357"/>
    <n v="15.7954998016357"/>
    <n v="85870000"/>
    <x v="4"/>
    <x v="11"/>
    <x v="2"/>
  </r>
  <r>
    <d v="2014-04-15T00:00:00"/>
    <n v="15.8350000381469"/>
    <n v="15.913999557495099"/>
    <n v="15.274999618530201"/>
    <n v="15.8039999008178"/>
    <n v="15.8039999008178"/>
    <n v="107972000"/>
    <x v="0"/>
    <x v="11"/>
    <x v="2"/>
  </r>
  <r>
    <d v="2014-04-16T00:00:00"/>
    <n v="16.0585002899169"/>
    <n v="16.2000007629394"/>
    <n v="15.735500335693301"/>
    <n v="16.1840000152587"/>
    <n v="16.1840000152587"/>
    <n v="85698000"/>
    <x v="1"/>
    <x v="11"/>
    <x v="2"/>
  </r>
  <r>
    <d v="2014-04-17T00:00:00"/>
    <n v="15.9879999160766"/>
    <n v="16.433000564575099"/>
    <n v="15.9879999160766"/>
    <n v="16.245500564575099"/>
    <n v="16.245500564575099"/>
    <n v="85984000"/>
    <x v="2"/>
    <x v="11"/>
    <x v="2"/>
  </r>
  <r>
    <d v="2014-04-21T00:00:00"/>
    <n v="16.198499679565401"/>
    <n v="16.557500839233398"/>
    <n v="16.115499496459901"/>
    <n v="16.543500900268501"/>
    <n v="16.543500900268501"/>
    <n v="59988000"/>
    <x v="4"/>
    <x v="11"/>
    <x v="2"/>
  </r>
  <r>
    <d v="2014-04-22T00:00:00"/>
    <n v="16.600000381469702"/>
    <n v="16.875"/>
    <n v="16.44700050354"/>
    <n v="16.465999603271399"/>
    <n v="16.465999603271399"/>
    <n v="74232000"/>
    <x v="0"/>
    <x v="11"/>
    <x v="2"/>
  </r>
  <r>
    <d v="2014-04-23T00:00:00"/>
    <n v="16.652999877929599"/>
    <n v="16.656499862670898"/>
    <n v="16.169500350952099"/>
    <n v="16.229000091552699"/>
    <n v="16.229000091552699"/>
    <n v="72092000"/>
    <x v="1"/>
    <x v="11"/>
    <x v="2"/>
  </r>
  <r>
    <d v="2014-04-24T00:00:00"/>
    <n v="16.4834995269775"/>
    <n v="16.870000839233398"/>
    <n v="16.147499084472599"/>
    <n v="16.857500076293899"/>
    <n v="16.857500076293899"/>
    <n v="185874000"/>
    <x v="2"/>
    <x v="11"/>
    <x v="2"/>
  </r>
  <r>
    <d v="2014-04-25T00:00:00"/>
    <n v="15.8125"/>
    <n v="15.824500083923301"/>
    <n v="15.135499954223601"/>
    <n v="15.191499710083001"/>
    <n v="15.191499710083001"/>
    <n v="323604000"/>
    <x v="3"/>
    <x v="11"/>
    <x v="2"/>
  </r>
  <r>
    <d v="2014-04-28T00:00:00"/>
    <n v="15.199999809265099"/>
    <n v="15.219499588012599"/>
    <n v="14.399999618530201"/>
    <n v="14.829000473022401"/>
    <n v="14.829000473022401"/>
    <n v="289596000"/>
    <x v="4"/>
    <x v="11"/>
    <x v="2"/>
  </r>
  <r>
    <d v="2014-04-29T00:00:00"/>
    <n v="14.8219995498657"/>
    <n v="15.0920000076293"/>
    <n v="14.5225000381469"/>
    <n v="15.0190000534057"/>
    <n v="15.0190000534057"/>
    <n v="130186000"/>
    <x v="0"/>
    <x v="11"/>
    <x v="2"/>
  </r>
  <r>
    <d v="2014-04-30T00:00:00"/>
    <n v="14.904999732971101"/>
    <n v="15.227999687194799"/>
    <n v="14.904999732971101"/>
    <n v="15.2065000534057"/>
    <n v="15.2065000534057"/>
    <n v="81772000"/>
    <x v="1"/>
    <x v="11"/>
    <x v="2"/>
  </r>
  <r>
    <d v="2014-05-01T00:00:00"/>
    <n v="15.2065000534057"/>
    <n v="15.5240001678466"/>
    <n v="15.199999809265099"/>
    <n v="15.3944997787475"/>
    <n v="15.3944997787475"/>
    <n v="86572000"/>
    <x v="2"/>
    <x v="0"/>
    <x v="2"/>
  </r>
  <r>
    <d v="2014-05-02T00:00:00"/>
    <n v="15.5209999084472"/>
    <n v="15.6645002365112"/>
    <n v="15.2154998779296"/>
    <n v="15.4005002975463"/>
    <n v="15.4005002975463"/>
    <n v="79902000"/>
    <x v="3"/>
    <x v="0"/>
    <x v="2"/>
  </r>
  <r>
    <d v="2014-05-05T00:00:00"/>
    <n v="15.318499565124499"/>
    <n v="15.5115003585815"/>
    <n v="15.25"/>
    <n v="15.502499580383301"/>
    <n v="15.502499580383301"/>
    <n v="50398000"/>
    <x v="4"/>
    <x v="0"/>
    <x v="2"/>
  </r>
  <r>
    <d v="2014-05-06T00:00:00"/>
    <n v="15.476499557495099"/>
    <n v="15.490500450134199"/>
    <n v="14.8520002365112"/>
    <n v="14.869000434875399"/>
    <n v="14.869000434875399"/>
    <n v="93646000"/>
    <x v="0"/>
    <x v="0"/>
    <x v="2"/>
  </r>
  <r>
    <d v="2014-05-07T00:00:00"/>
    <n v="14.7779998779296"/>
    <n v="14.819999694824199"/>
    <n v="14.333999633789"/>
    <n v="14.635499954223601"/>
    <n v="14.635499954223601"/>
    <n v="140304000"/>
    <x v="1"/>
    <x v="0"/>
    <x v="2"/>
  </r>
  <r>
    <d v="2014-05-08T00:00:00"/>
    <n v="14.5410003662109"/>
    <n v="14.793999671936"/>
    <n v="14.3614997863769"/>
    <n v="14.4160003662109"/>
    <n v="14.4160003662109"/>
    <n v="76964000"/>
    <x v="2"/>
    <x v="0"/>
    <x v="2"/>
  </r>
  <r>
    <d v="2014-05-09T00:00:00"/>
    <n v="14.528499603271401"/>
    <n v="14.6840000152587"/>
    <n v="14.218999862670801"/>
    <n v="14.612000465393001"/>
    <n v="14.612000465393001"/>
    <n v="81260000"/>
    <x v="3"/>
    <x v="0"/>
    <x v="2"/>
  </r>
  <r>
    <d v="2014-05-12T00:00:00"/>
    <n v="14.7150001525878"/>
    <n v="15.166999816894499"/>
    <n v="14.708000183105399"/>
    <n v="15.1429996490478"/>
    <n v="15.1429996490478"/>
    <n v="74592000"/>
    <x v="4"/>
    <x v="0"/>
    <x v="2"/>
  </r>
  <r>
    <d v="2014-05-13T00:00:00"/>
    <n v="15.1300001144409"/>
    <n v="15.279999732971101"/>
    <n v="15.0375003814697"/>
    <n v="15.2320003509521"/>
    <n v="15.2320003509521"/>
    <n v="70198000"/>
    <x v="0"/>
    <x v="0"/>
    <x v="2"/>
  </r>
  <r>
    <d v="2014-05-14T00:00:00"/>
    <n v="15.125"/>
    <n v="15.2320003509521"/>
    <n v="14.833000183105399"/>
    <n v="14.880999565124499"/>
    <n v="14.880999565124499"/>
    <n v="66466000"/>
    <x v="1"/>
    <x v="0"/>
    <x v="2"/>
  </r>
  <r>
    <d v="2014-05-15T00:00:00"/>
    <n v="14.9010000228881"/>
    <n v="14.9600000381469"/>
    <n v="14.5190000534057"/>
    <n v="14.7594995498657"/>
    <n v="14.7594995498657"/>
    <n v="85902000"/>
    <x v="2"/>
    <x v="0"/>
    <x v="2"/>
  </r>
  <r>
    <d v="2014-05-16T00:00:00"/>
    <n v="14.640000343322701"/>
    <n v="14.9440002441406"/>
    <n v="14.577500343322701"/>
    <n v="14.8850002288818"/>
    <n v="14.8850002288818"/>
    <n v="72736000"/>
    <x v="3"/>
    <x v="0"/>
    <x v="2"/>
  </r>
  <r>
    <d v="2014-05-19T00:00:00"/>
    <n v="14.7880001068115"/>
    <n v="14.949999809265099"/>
    <n v="14.6905002593994"/>
    <n v="14.8380002975463"/>
    <n v="14.8380002975463"/>
    <n v="45684000"/>
    <x v="4"/>
    <x v="0"/>
    <x v="2"/>
  </r>
  <r>
    <d v="2014-05-20T00:00:00"/>
    <n v="14.8549995422363"/>
    <n v="15.222999572753899"/>
    <n v="14.837499618530201"/>
    <n v="15.059499740600501"/>
    <n v="15.059499740600501"/>
    <n v="81914000"/>
    <x v="0"/>
    <x v="0"/>
    <x v="2"/>
  </r>
  <r>
    <d v="2014-05-21T00:00:00"/>
    <n v="15.110500335693301"/>
    <n v="15.298000335693301"/>
    <n v="15.076000213623001"/>
    <n v="15.250499725341699"/>
    <n v="15.250499725341699"/>
    <n v="68176000"/>
    <x v="1"/>
    <x v="0"/>
    <x v="2"/>
  </r>
  <r>
    <d v="2014-05-22T00:00:00"/>
    <n v="15.252499580383301"/>
    <n v="15.4270000457763"/>
    <n v="15.1505002975463"/>
    <n v="15.245499610900801"/>
    <n v="15.245499610900801"/>
    <n v="51536000"/>
    <x v="2"/>
    <x v="0"/>
    <x v="2"/>
  </r>
  <r>
    <d v="2014-05-23T00:00:00"/>
    <n v="15.2729997634887"/>
    <n v="15.6175003051757"/>
    <n v="15.244999885559"/>
    <n v="15.612000465393001"/>
    <n v="15.612000465393001"/>
    <n v="61058000"/>
    <x v="3"/>
    <x v="0"/>
    <x v="2"/>
  </r>
  <r>
    <d v="2014-05-27T00:00:00"/>
    <n v="15.7204999923706"/>
    <n v="15.731499671936"/>
    <n v="15.369000434875399"/>
    <n v="15.5410003662109"/>
    <n v="15.5410003662109"/>
    <n v="97242000"/>
    <x v="0"/>
    <x v="0"/>
    <x v="2"/>
  </r>
  <r>
    <d v="2014-05-28T00:00:00"/>
    <n v="15.4750003814697"/>
    <n v="15.6909999847412"/>
    <n v="15.3710002899169"/>
    <n v="15.5080003738403"/>
    <n v="15.5080003738403"/>
    <n v="54520000"/>
    <x v="1"/>
    <x v="0"/>
    <x v="2"/>
  </r>
  <r>
    <d v="2014-05-29T00:00:00"/>
    <n v="15.5209999084472"/>
    <n v="15.7434997558593"/>
    <n v="15.5100002288818"/>
    <n v="15.6890001296997"/>
    <n v="15.6890001296997"/>
    <n v="47310000"/>
    <x v="2"/>
    <x v="0"/>
    <x v="2"/>
  </r>
  <r>
    <d v="2014-05-30T00:00:00"/>
    <n v="15.7215003967285"/>
    <n v="15.732500076293899"/>
    <n v="15.3784999847412"/>
    <n v="15.627499580383301"/>
    <n v="15.627499580383301"/>
    <n v="85204000"/>
    <x v="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9CA8C-9EA6-4BD4-AB43-DD0AE28800C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J3:K15" firstHeaderRow="1" firstDataRow="1" firstDataCol="1"/>
  <pivotFields count="10">
    <pivotField numFmtId="14" showAll="0"/>
    <pivotField showAll="0"/>
    <pivotField showAll="0"/>
    <pivotField showAll="0"/>
    <pivotField showAll="0"/>
    <pivotField showAll="0"/>
    <pivotField dataField="1" showAll="0"/>
    <pivotField showAll="0">
      <items count="6">
        <item x="4"/>
        <item x="0"/>
        <item x="1"/>
        <item x="2"/>
        <item x="3"/>
        <item t="default"/>
      </items>
    </pivotField>
    <pivotField axis="axisRow" showAll="0">
      <items count="13">
        <item x="8"/>
        <item x="9"/>
        <item x="10"/>
        <item x="11"/>
        <item x="0"/>
        <item x="1"/>
        <item x="2"/>
        <item x="3"/>
        <item x="4"/>
        <item x="5"/>
        <item x="6"/>
        <item x="7"/>
        <item t="default"/>
      </items>
    </pivotField>
    <pivotField showAll="0">
      <items count="4">
        <item h="1" x="0"/>
        <item x="1"/>
        <item h="1" x="2"/>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76283D-25D9-4F21-B209-1372F737F04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G3:H4"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showAll="0">
      <items count="13">
        <item x="8"/>
        <item x="9"/>
        <item x="10"/>
        <item x="11"/>
        <item x="0"/>
        <item x="1"/>
        <item x="2"/>
        <item x="3"/>
        <item x="4"/>
        <item x="5"/>
        <item x="6"/>
        <item x="7"/>
        <item t="default"/>
      </items>
    </pivotField>
    <pivotField axis="axisRow" showAll="0">
      <items count="4">
        <item h="1" x="0"/>
        <item x="1"/>
        <item h="1" x="2"/>
        <item t="default"/>
      </items>
    </pivotField>
  </pivotFields>
  <rowFields count="1">
    <field x="9"/>
  </rowFields>
  <rowItems count="1">
    <i>
      <x v="1"/>
    </i>
  </rowItems>
  <colItems count="1">
    <i/>
  </colItems>
  <dataFields count="1">
    <dataField name="Average of Adj_Close" fld="5" subtotal="average"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5B8E7F-F82A-4126-9821-80B2BF09C7C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M3:O8"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6">
        <item x="4"/>
        <item x="0"/>
        <item x="1"/>
        <item x="2"/>
        <item x="3"/>
        <item t="default"/>
      </items>
    </pivotField>
    <pivotField showAll="0">
      <items count="13">
        <item x="8"/>
        <item x="9"/>
        <item x="10"/>
        <item x="11"/>
        <item x="0"/>
        <item x="1"/>
        <item x="2"/>
        <item x="3"/>
        <item x="4"/>
        <item x="5"/>
        <item x="6"/>
        <item x="7"/>
        <item t="default"/>
      </items>
    </pivotField>
    <pivotField showAll="0">
      <items count="4">
        <item h="1" x="0"/>
        <item x="1"/>
        <item h="1" x="2"/>
        <item t="default"/>
      </items>
    </pivotField>
  </pivotFields>
  <rowFields count="1">
    <field x="7"/>
  </rowFields>
  <rowItems count="5">
    <i>
      <x/>
    </i>
    <i>
      <x v="1"/>
    </i>
    <i>
      <x v="2"/>
    </i>
    <i>
      <x v="3"/>
    </i>
    <i>
      <x v="4"/>
    </i>
  </rowItems>
  <colFields count="1">
    <field x="-2"/>
  </colFields>
  <colItems count="2">
    <i>
      <x/>
    </i>
    <i i="1">
      <x v="1"/>
    </i>
  </colItems>
  <dataFields count="2">
    <dataField name="Sum of Open" fld="1" baseField="0" baseItem="0"/>
    <dataField name="Sum of High"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BD176-85F7-4755-86C5-611732A20E1C}"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3:X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4"/>
        <item x="0"/>
        <item x="1"/>
        <item x="2"/>
        <item x="3"/>
        <item t="default"/>
      </items>
    </pivotField>
    <pivotField showAll="0">
      <items count="13">
        <item x="8"/>
        <item x="9"/>
        <item x="10"/>
        <item x="11"/>
        <item x="0"/>
        <item x="1"/>
        <item x="2"/>
        <item x="3"/>
        <item x="4"/>
        <item x="5"/>
        <item x="6"/>
        <item x="7"/>
        <item t="default"/>
      </items>
    </pivotField>
    <pivotField showAll="0">
      <items count="4">
        <item h="1" x="0"/>
        <item x="1"/>
        <item h="1" x="2"/>
        <item t="default"/>
      </items>
    </pivotField>
  </pivotFields>
  <rowItems count="1">
    <i/>
  </rowItems>
  <colFields count="1">
    <field x="-2"/>
  </colFields>
  <colItems count="4">
    <i>
      <x/>
    </i>
    <i i="1">
      <x v="1"/>
    </i>
    <i i="2">
      <x v="2"/>
    </i>
    <i i="3">
      <x v="3"/>
    </i>
  </colItems>
  <dataFields count="4">
    <dataField name="Sum of Low" fld="3" baseField="0" baseItem="0"/>
    <dataField name="Sum of Close" fld="4" baseField="0" baseItem="0"/>
    <dataField name="Sum of Open" fld="1" baseField="0" baseItem="0"/>
    <dataField name="Sum of High"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BACBE3-08C0-48B5-B5BC-5DCB3B62BCE5}"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Q3:S8" firstHeaderRow="0" firstDataRow="1" firstDataCol="1"/>
  <pivotFields count="10">
    <pivotField numFmtId="14" showAll="0"/>
    <pivotField showAll="0"/>
    <pivotField showAll="0"/>
    <pivotField dataField="1" showAll="0"/>
    <pivotField dataField="1" showAll="0"/>
    <pivotField showAll="0"/>
    <pivotField showAll="0"/>
    <pivotField axis="axisRow" showAll="0">
      <items count="6">
        <item x="4"/>
        <item x="0"/>
        <item x="1"/>
        <item x="2"/>
        <item x="3"/>
        <item t="default"/>
      </items>
    </pivotField>
    <pivotField showAll="0">
      <items count="13">
        <item x="8"/>
        <item x="9"/>
        <item x="10"/>
        <item x="11"/>
        <item x="0"/>
        <item x="1"/>
        <item x="2"/>
        <item x="3"/>
        <item x="4"/>
        <item x="5"/>
        <item x="6"/>
        <item x="7"/>
        <item t="default"/>
      </items>
    </pivotField>
    <pivotField showAll="0">
      <items count="4">
        <item h="1" x="0"/>
        <item x="1"/>
        <item h="1" x="2"/>
        <item t="default"/>
      </items>
    </pivotField>
  </pivotFields>
  <rowFields count="1">
    <field x="7"/>
  </rowFields>
  <rowItems count="5">
    <i>
      <x/>
    </i>
    <i>
      <x v="1"/>
    </i>
    <i>
      <x v="2"/>
    </i>
    <i>
      <x v="3"/>
    </i>
    <i>
      <x v="4"/>
    </i>
  </rowItems>
  <colFields count="1">
    <field x="-2"/>
  </colFields>
  <colItems count="2">
    <i>
      <x/>
    </i>
    <i i="1">
      <x v="1"/>
    </i>
  </colItems>
  <dataFields count="2">
    <dataField name="Sum of Low" fld="3" baseField="0" baseItem="0"/>
    <dataField name="Sum of Close"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E471F7-A701-4BE7-AA2C-2FD4B7BB5C1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D3:E8" firstHeaderRow="1" firstDataRow="1" firstDataCol="1"/>
  <pivotFields count="10">
    <pivotField numFmtId="14" showAll="0"/>
    <pivotField showAll="0"/>
    <pivotField showAll="0"/>
    <pivotField showAll="0"/>
    <pivotField showAll="0"/>
    <pivotField showAll="0"/>
    <pivotField dataField="1" showAll="0"/>
    <pivotField axis="axisRow" showAll="0">
      <items count="6">
        <item x="4"/>
        <item x="0"/>
        <item x="1"/>
        <item x="2"/>
        <item x="3"/>
        <item t="default"/>
      </items>
    </pivotField>
    <pivotField showAll="0">
      <items count="13">
        <item x="8"/>
        <item x="9"/>
        <item x="10"/>
        <item x="11"/>
        <item x="0"/>
        <item x="1"/>
        <item x="2"/>
        <item x="3"/>
        <item x="4"/>
        <item x="5"/>
        <item x="6"/>
        <item x="7"/>
        <item t="default"/>
      </items>
    </pivotField>
    <pivotField showAll="0">
      <items count="4">
        <item h="1" x="0"/>
        <item x="1"/>
        <item h="1" x="2"/>
        <item t="default"/>
      </items>
    </pivotField>
  </pivotFields>
  <rowFields count="1">
    <field x="7"/>
  </rowFields>
  <rowItems count="5">
    <i>
      <x/>
    </i>
    <i>
      <x v="1"/>
    </i>
    <i>
      <x v="2"/>
    </i>
    <i>
      <x v="3"/>
    </i>
    <i>
      <x v="4"/>
    </i>
  </rowItems>
  <colItems count="1">
    <i/>
  </colItems>
  <dataFields count="1">
    <dataField name="Average of Volume" fld="6" subtotal="average"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7" count="1" selected="0">
            <x v="0"/>
          </reference>
        </references>
      </pivotArea>
    </chartFormat>
    <chartFormat chart="5" format="9">
      <pivotArea type="data" outline="0" fieldPosition="0">
        <references count="2">
          <reference field="4294967294" count="1" selected="0">
            <x v="0"/>
          </reference>
          <reference field="7" count="1" selected="0">
            <x v="1"/>
          </reference>
        </references>
      </pivotArea>
    </chartFormat>
    <chartFormat chart="5" format="10">
      <pivotArea type="data" outline="0" fieldPosition="0">
        <references count="2">
          <reference field="4294967294" count="1" selected="0">
            <x v="0"/>
          </reference>
          <reference field="7" count="1" selected="0">
            <x v="2"/>
          </reference>
        </references>
      </pivotArea>
    </chartFormat>
    <chartFormat chart="5" format="11">
      <pivotArea type="data" outline="0" fieldPosition="0">
        <references count="2">
          <reference field="4294967294" count="1" selected="0">
            <x v="0"/>
          </reference>
          <reference field="7" count="1" selected="0">
            <x v="3"/>
          </reference>
        </references>
      </pivotArea>
    </chartFormat>
    <chartFormat chart="5" format="12">
      <pivotArea type="data" outline="0" fieldPosition="0">
        <references count="2">
          <reference field="4294967294" count="1" selected="0">
            <x v="0"/>
          </reference>
          <reference field="7" count="1" selected="0">
            <x v="4"/>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E1056A-FD33-4019-80B2-FFA55CC2B053}"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axis="axisRow" showAll="0">
      <items count="13">
        <item x="8"/>
        <item x="9"/>
        <item x="10"/>
        <item x="11"/>
        <item x="0"/>
        <item x="1"/>
        <item x="2"/>
        <item x="3"/>
        <item x="4"/>
        <item x="5"/>
        <item x="6"/>
        <item x="7"/>
        <item t="default"/>
      </items>
    </pivotField>
    <pivotField showAll="0">
      <items count="4">
        <item h="1" x="0"/>
        <item x="1"/>
        <item h="1" x="2"/>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0" baseItem="0"/>
  </dataFields>
  <formats count="1">
    <format dxfId="15">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50DCDDC-FC6B-4A9E-A90B-528536A65251}" sourceName="Day">
  <pivotTables>
    <pivotTable tabId="7" name="PivotTable5"/>
    <pivotTable tabId="7" name="PivotTable3"/>
    <pivotTable tabId="7" name="PivotTable4"/>
    <pivotTable tabId="7" name="PivotTable7"/>
    <pivotTable tabId="7" name="PivotTable8"/>
    <pivotTable tabId="7" name="PivotTable9"/>
  </pivotTables>
  <data>
    <tabular pivotCacheId="825221497">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F8F4B7-9666-49FB-862D-3DE40F28914A}" sourceName="Month">
  <pivotTables>
    <pivotTable tabId="7" name="PivotTable5"/>
    <pivotTable tabId="7" name="PivotTable3"/>
    <pivotTable tabId="7" name="PivotTable4"/>
    <pivotTable tabId="7" name="PivotTable6"/>
    <pivotTable tabId="7" name="PivotTable7"/>
    <pivotTable tabId="7" name="PivotTable8"/>
    <pivotTable tabId="7" name="PivotTable9"/>
  </pivotTables>
  <data>
    <tabular pivotCacheId="825221497">
      <items count="12">
        <i x="8" s="1"/>
        <i x="9" s="1"/>
        <i x="10" s="1"/>
        <i x="11" s="1"/>
        <i x="0" s="1"/>
        <i x="1" s="1"/>
        <i x="2" s="1"/>
        <i x="3" s="1"/>
        <i x="4"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5EA22FC-B271-4662-8883-8AF0F8025004}" sourceName="Year">
  <pivotTables>
    <pivotTable tabId="7" name="PivotTable5"/>
    <pivotTable tabId="7" name="PivotTable3"/>
    <pivotTable tabId="7" name="PivotTable4"/>
    <pivotTable tabId="7" name="PivotTable6"/>
    <pivotTable tabId="7" name="PivotTable7"/>
    <pivotTable tabId="7" name="PivotTable8"/>
    <pivotTable tabId="7" name="PivotTable9"/>
  </pivotTables>
  <data>
    <tabular pivotCacheId="825221497">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DD486187-5F00-43DA-AC87-0E768AB50FFC}" cache="Slicer_Day" caption="Day" columnCount="2" rowHeight="247650"/>
  <slicer name="Month" xr10:uid="{E40D8824-DBAF-4591-91AB-3279530BD782}" cache="Slicer_Month" caption="Month" columnCount="2" rowHeight="247650"/>
  <slicer name="Year" xr10:uid="{9C0773C9-DB01-4137-A04B-F7550A189BE7}"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4E99B4-007D-4FFB-ACC1-94A968116B40}" name="Table1" displayName="Table1" ref="C2:L526" totalsRowShown="0" headerRowDxfId="14" dataDxfId="12" headerRowBorderDxfId="13" tableBorderDxfId="11" totalsRowBorderDxfId="10">
  <autoFilter ref="C2:L526" xr:uid="{BA4E99B4-007D-4FFB-ACC1-94A968116B40}"/>
  <tableColumns count="10">
    <tableColumn id="1" xr3:uid="{1A1A5297-590C-4C38-A195-5CB9EAD9AD55}" name="Date" dataDxfId="9"/>
    <tableColumn id="2" xr3:uid="{91906839-99B6-4AB8-8574-2DF95720B551}" name="Open" dataDxfId="8"/>
    <tableColumn id="3" xr3:uid="{8EB335CE-0697-49AE-96C9-EF7CB4DFE075}" name="High" dataDxfId="7"/>
    <tableColumn id="4" xr3:uid="{37404A5B-1FCA-41AE-BBED-77AEE4298758}" name="Low" dataDxfId="6"/>
    <tableColumn id="5" xr3:uid="{6BCE64B3-2A25-42BF-9F6A-04DC048A9DD6}" name="Close" dataDxfId="5"/>
    <tableColumn id="6" xr3:uid="{1FCFDFFB-02C6-4A37-BCF3-3A49F592FF29}" name="Adj_Close" dataDxfId="4"/>
    <tableColumn id="7" xr3:uid="{5894A15C-7820-46ED-9060-F30C8FEA40B8}" name="Volume" dataDxfId="3"/>
    <tableColumn id="8" xr3:uid="{BD3D5B38-60AA-4313-9AF5-A90F3D5AAD7C}" name="Day" dataDxfId="2">
      <calculatedColumnFormula>TEXT(Table1[[#This Row],[Date]],"dddd")</calculatedColumnFormula>
    </tableColumn>
    <tableColumn id="9" xr3:uid="{7FEB8BC0-F745-47AC-BB17-D239E70020BC}" name="Month" dataDxfId="1">
      <calculatedColumnFormula>TEXT(Table1[[#This Row],[Date]],"mmmm")</calculatedColumnFormula>
    </tableColumn>
    <tableColumn id="10" xr3:uid="{50016B12-8DD7-4087-8E0F-1D985950F11D}" name="Year" dataDxfId="0">
      <calculatedColumnFormula>TEXT(Table1[[#This Row],[Date]],"yyyy")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85F6-0CED-481A-90D5-08B677398BF5}">
  <dimension ref="A3:X15"/>
  <sheetViews>
    <sheetView workbookViewId="0">
      <selection activeCell="A13" sqref="A13"/>
    </sheetView>
  </sheetViews>
  <sheetFormatPr defaultRowHeight="14.4" x14ac:dyDescent="0.3"/>
  <cols>
    <col min="1" max="1" width="12.44140625" bestFit="1" customWidth="1"/>
    <col min="2" max="2" width="18.21875" bestFit="1" customWidth="1"/>
    <col min="4" max="4" width="12.44140625" bestFit="1" customWidth="1"/>
    <col min="5" max="5" width="16.21875" bestFit="1" customWidth="1"/>
    <col min="7" max="7" width="12.44140625" bestFit="1" customWidth="1"/>
    <col min="8" max="8" width="18.21875" bestFit="1" customWidth="1"/>
    <col min="10" max="10" width="12.44140625" bestFit="1" customWidth="1"/>
    <col min="11" max="11" width="16.21875" bestFit="1" customWidth="1"/>
    <col min="13" max="13" width="12.44140625" bestFit="1" customWidth="1"/>
    <col min="14" max="15" width="12" bestFit="1" customWidth="1"/>
    <col min="17" max="17" width="12.44140625" bestFit="1" customWidth="1"/>
    <col min="18" max="19" width="12" bestFit="1" customWidth="1"/>
    <col min="21" max="24" width="12" bestFit="1" customWidth="1"/>
  </cols>
  <sheetData>
    <row r="3" spans="1:24" x14ac:dyDescent="0.3">
      <c r="A3" s="8" t="s">
        <v>10</v>
      </c>
      <c r="B3" t="s">
        <v>23</v>
      </c>
      <c r="D3" s="8" t="s">
        <v>10</v>
      </c>
      <c r="E3" t="s">
        <v>30</v>
      </c>
      <c r="G3" s="8" t="s">
        <v>10</v>
      </c>
      <c r="H3" t="s">
        <v>23</v>
      </c>
      <c r="J3" s="8" t="s">
        <v>10</v>
      </c>
      <c r="K3" t="s">
        <v>30</v>
      </c>
      <c r="M3" s="8" t="s">
        <v>10</v>
      </c>
      <c r="N3" t="s">
        <v>31</v>
      </c>
      <c r="O3" t="s">
        <v>32</v>
      </c>
      <c r="Q3" s="8" t="s">
        <v>10</v>
      </c>
      <c r="R3" t="s">
        <v>33</v>
      </c>
      <c r="S3" t="s">
        <v>34</v>
      </c>
      <c r="U3" t="s">
        <v>33</v>
      </c>
      <c r="V3" t="s">
        <v>34</v>
      </c>
      <c r="W3" t="s">
        <v>31</v>
      </c>
      <c r="X3" t="s">
        <v>32</v>
      </c>
    </row>
    <row r="4" spans="1:24" x14ac:dyDescent="0.3">
      <c r="A4" s="9" t="s">
        <v>11</v>
      </c>
      <c r="B4" s="10">
        <v>13.418976284208705</v>
      </c>
      <c r="D4" s="9" t="s">
        <v>29</v>
      </c>
      <c r="E4">
        <v>56037375</v>
      </c>
      <c r="G4" s="9" t="s">
        <v>25</v>
      </c>
      <c r="H4">
        <v>14.901579402741921</v>
      </c>
      <c r="J4" s="9" t="s">
        <v>11</v>
      </c>
      <c r="K4">
        <v>80215619.047619045</v>
      </c>
      <c r="M4" s="9" t="s">
        <v>29</v>
      </c>
      <c r="N4">
        <v>724.61549758910894</v>
      </c>
      <c r="O4">
        <v>730.55599880218301</v>
      </c>
      <c r="Q4" s="9" t="s">
        <v>29</v>
      </c>
      <c r="R4">
        <v>715.70199966430459</v>
      </c>
      <c r="S4">
        <v>722.02600383758295</v>
      </c>
      <c r="U4">
        <v>3712.6720123290997</v>
      </c>
      <c r="V4">
        <v>3755.1980094909641</v>
      </c>
      <c r="W4">
        <v>3753.2265005111667</v>
      </c>
      <c r="X4">
        <v>3791.6675090789772</v>
      </c>
    </row>
    <row r="5" spans="1:24" x14ac:dyDescent="0.3">
      <c r="A5" s="9" t="s">
        <v>12</v>
      </c>
      <c r="B5" s="10">
        <v>13.184868511400678</v>
      </c>
      <c r="D5" s="9" t="s">
        <v>28</v>
      </c>
      <c r="E5">
        <v>55480884.615384616</v>
      </c>
      <c r="J5" s="9" t="s">
        <v>12</v>
      </c>
      <c r="K5">
        <v>72275473.684210524</v>
      </c>
      <c r="M5" s="9" t="s">
        <v>28</v>
      </c>
      <c r="N5">
        <v>776.83850479125749</v>
      </c>
      <c r="O5">
        <v>785.02050209045206</v>
      </c>
      <c r="Q5" s="9" t="s">
        <v>28</v>
      </c>
      <c r="R5">
        <v>769.20000553130865</v>
      </c>
      <c r="S5">
        <v>778.02200126647733</v>
      </c>
    </row>
    <row r="6" spans="1:24" x14ac:dyDescent="0.3">
      <c r="A6" s="9" t="s">
        <v>13</v>
      </c>
      <c r="B6" s="10">
        <v>13.287925052642782</v>
      </c>
      <c r="D6" s="9" t="s">
        <v>27</v>
      </c>
      <c r="E6">
        <v>55227450.980392158</v>
      </c>
      <c r="J6" s="9" t="s">
        <v>13</v>
      </c>
      <c r="K6">
        <v>58505700</v>
      </c>
      <c r="M6" s="9" t="s">
        <v>27</v>
      </c>
      <c r="N6">
        <v>752.01450061797868</v>
      </c>
      <c r="O6">
        <v>759.10750484466314</v>
      </c>
      <c r="Q6" s="9" t="s">
        <v>27</v>
      </c>
      <c r="R6">
        <v>743.26150608062517</v>
      </c>
      <c r="S6">
        <v>751.16100311279081</v>
      </c>
    </row>
    <row r="7" spans="1:24" x14ac:dyDescent="0.3">
      <c r="A7" s="9" t="s">
        <v>14</v>
      </c>
      <c r="B7" s="10">
        <v>13.153613654049911</v>
      </c>
      <c r="D7" s="9" t="s">
        <v>26</v>
      </c>
      <c r="E7">
        <v>58625960</v>
      </c>
      <c r="J7" s="9" t="s">
        <v>14</v>
      </c>
      <c r="K7">
        <v>69923818.181818187</v>
      </c>
      <c r="M7" s="9" t="s">
        <v>26</v>
      </c>
      <c r="N7">
        <v>737.99199676513399</v>
      </c>
      <c r="O7">
        <v>745.73250293731473</v>
      </c>
      <c r="Q7" s="9" t="s">
        <v>26</v>
      </c>
      <c r="R7">
        <v>730.19200038909696</v>
      </c>
      <c r="S7">
        <v>738.97500038146734</v>
      </c>
    </row>
    <row r="8" spans="1:24" x14ac:dyDescent="0.3">
      <c r="A8" s="9" t="s">
        <v>15</v>
      </c>
      <c r="B8" s="10">
        <v>13.136386437849511</v>
      </c>
      <c r="D8" s="9" t="s">
        <v>24</v>
      </c>
      <c r="E8">
        <v>71282666.666666672</v>
      </c>
      <c r="J8" s="9" t="s">
        <v>15</v>
      </c>
      <c r="K8">
        <v>53682272.727272727</v>
      </c>
      <c r="M8" s="9" t="s">
        <v>24</v>
      </c>
      <c r="N8">
        <v>761.76600074767885</v>
      </c>
      <c r="O8">
        <v>771.25100040435541</v>
      </c>
      <c r="Q8" s="9" t="s">
        <v>24</v>
      </c>
      <c r="R8">
        <v>754.31650066375551</v>
      </c>
      <c r="S8">
        <v>765.01400089263632</v>
      </c>
    </row>
    <row r="9" spans="1:24" x14ac:dyDescent="0.3">
      <c r="A9" s="9" t="s">
        <v>16</v>
      </c>
      <c r="B9" s="10">
        <v>13.705100011825522</v>
      </c>
      <c r="J9" s="9" t="s">
        <v>16</v>
      </c>
      <c r="K9">
        <v>58575800</v>
      </c>
    </row>
    <row r="10" spans="1:24" x14ac:dyDescent="0.3">
      <c r="A10" s="9" t="s">
        <v>17</v>
      </c>
      <c r="B10" s="10">
        <v>14.948840791528818</v>
      </c>
      <c r="J10" s="9" t="s">
        <v>17</v>
      </c>
      <c r="K10">
        <v>61397181.81818182</v>
      </c>
    </row>
    <row r="11" spans="1:24" x14ac:dyDescent="0.3">
      <c r="A11" s="9" t="s">
        <v>18</v>
      </c>
      <c r="B11" s="10">
        <v>14.557659105821038</v>
      </c>
      <c r="J11" s="9" t="s">
        <v>18</v>
      </c>
      <c r="K11">
        <v>39794454.545454547</v>
      </c>
    </row>
    <row r="12" spans="1:24" x14ac:dyDescent="0.3">
      <c r="A12" s="9" t="s">
        <v>19</v>
      </c>
      <c r="B12" s="10">
        <v>15.23647499084468</v>
      </c>
      <c r="J12" s="9" t="s">
        <v>19</v>
      </c>
      <c r="K12">
        <v>43468800</v>
      </c>
    </row>
    <row r="13" spans="1:24" x14ac:dyDescent="0.3">
      <c r="A13" s="9" t="s">
        <v>20</v>
      </c>
      <c r="B13" s="10">
        <v>16.298717540243359</v>
      </c>
      <c r="J13" s="9" t="s">
        <v>20</v>
      </c>
      <c r="K13">
        <v>67213391.304347828</v>
      </c>
    </row>
    <row r="14" spans="1:24" x14ac:dyDescent="0.3">
      <c r="A14" s="9" t="s">
        <v>21</v>
      </c>
      <c r="B14" s="10">
        <v>18.241600036621051</v>
      </c>
      <c r="J14" s="9" t="s">
        <v>21</v>
      </c>
      <c r="K14">
        <v>54207700</v>
      </c>
    </row>
    <row r="15" spans="1:24" x14ac:dyDescent="0.3">
      <c r="A15" s="9" t="s">
        <v>22</v>
      </c>
      <c r="B15" s="10">
        <v>19.574833370390341</v>
      </c>
      <c r="J15" s="9" t="s">
        <v>22</v>
      </c>
      <c r="K15">
        <v>53034952.380952381</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77507-1055-4C64-A582-C9B16F07D697}">
  <dimension ref="D2"/>
  <sheetViews>
    <sheetView showGridLines="0" tabSelected="1" workbookViewId="0">
      <selection activeCell="P2" sqref="P2"/>
    </sheetView>
  </sheetViews>
  <sheetFormatPr defaultRowHeight="14.4" x14ac:dyDescent="0.3"/>
  <sheetData>
    <row r="2" spans="4:4" ht="47.4" x14ac:dyDescent="0.9">
      <c r="D2" s="11" t="s">
        <v>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20E7A-6232-45C8-AF37-E4ADC2F92244}">
  <dimension ref="C2:L527"/>
  <sheetViews>
    <sheetView zoomScale="102" zoomScaleNormal="102" workbookViewId="0">
      <selection activeCell="O18" sqref="O18"/>
    </sheetView>
  </sheetViews>
  <sheetFormatPr defaultRowHeight="14.4" x14ac:dyDescent="0.3"/>
  <cols>
    <col min="3" max="3" width="12.33203125" customWidth="1"/>
    <col min="8" max="8" width="11.5546875" customWidth="1"/>
    <col min="9" max="9" width="9.33203125" customWidth="1"/>
    <col min="10" max="10" width="10.44140625" customWidth="1"/>
  </cols>
  <sheetData>
    <row r="2" spans="3:12" x14ac:dyDescent="0.3">
      <c r="C2" s="13" t="s">
        <v>0</v>
      </c>
      <c r="D2" s="13" t="s">
        <v>1</v>
      </c>
      <c r="E2" s="13" t="s">
        <v>2</v>
      </c>
      <c r="F2" s="13" t="s">
        <v>3</v>
      </c>
      <c r="G2" s="13" t="s">
        <v>4</v>
      </c>
      <c r="H2" s="13" t="s">
        <v>5</v>
      </c>
      <c r="I2" s="13" t="s">
        <v>6</v>
      </c>
      <c r="J2" s="13" t="s">
        <v>7</v>
      </c>
      <c r="K2" s="13" t="s">
        <v>8</v>
      </c>
      <c r="L2" s="13" t="s">
        <v>9</v>
      </c>
    </row>
    <row r="3" spans="3:12" x14ac:dyDescent="0.3">
      <c r="C3" s="1">
        <v>41030</v>
      </c>
      <c r="D3" s="2">
        <v>11.4700002670288</v>
      </c>
      <c r="E3" s="2">
        <v>11.648500442504799</v>
      </c>
      <c r="F3" s="2">
        <v>11.420000076293899</v>
      </c>
      <c r="G3" s="2">
        <v>11.5019998550415</v>
      </c>
      <c r="H3" s="2">
        <v>11.5019998550415</v>
      </c>
      <c r="I3" s="2">
        <v>135098000</v>
      </c>
      <c r="J3" s="2" t="str">
        <f>TEXT(Table1[[#This Row],[Date]],"dddd")</f>
        <v>Tuesday</v>
      </c>
      <c r="K3" s="2" t="str">
        <f>TEXT(Table1[[#This Row],[Date]],"mmmm")</f>
        <v>May</v>
      </c>
      <c r="L3" s="3" t="str">
        <f>TEXT(Table1[[#This Row],[Date]],"yyyy")</f>
        <v>2012</v>
      </c>
    </row>
    <row r="4" spans="3:12" x14ac:dyDescent="0.3">
      <c r="C4" s="4">
        <v>41031</v>
      </c>
      <c r="D4" s="5">
        <v>11.3909997940063</v>
      </c>
      <c r="E4" s="5">
        <v>11.5719995498657</v>
      </c>
      <c r="F4" s="5">
        <v>11.369999885559</v>
      </c>
      <c r="G4" s="5">
        <v>11.512499809265099</v>
      </c>
      <c r="H4" s="5">
        <v>11.512499809265099</v>
      </c>
      <c r="I4" s="5">
        <v>91868000</v>
      </c>
      <c r="J4" s="2" t="str">
        <f>TEXT(Table1[[#This Row],[Date]],"dddd")</f>
        <v>Wednesday</v>
      </c>
      <c r="K4" s="5" t="str">
        <f>TEXT(Table1[[#This Row],[Date]],"mmmm")</f>
        <v>May</v>
      </c>
      <c r="L4" s="3" t="str">
        <f>TEXT(Table1[[#This Row],[Date]],"yyyy")</f>
        <v>2012</v>
      </c>
    </row>
    <row r="5" spans="3:12" x14ac:dyDescent="0.3">
      <c r="C5" s="1">
        <v>41032</v>
      </c>
      <c r="D5" s="2">
        <v>11.487000465393001</v>
      </c>
      <c r="E5" s="2">
        <v>11.6265001296997</v>
      </c>
      <c r="F5" s="2">
        <v>11.401499748229901</v>
      </c>
      <c r="G5" s="2">
        <v>11.4724998474121</v>
      </c>
      <c r="H5" s="2">
        <v>11.4724998474121</v>
      </c>
      <c r="I5" s="2">
        <v>81110000</v>
      </c>
      <c r="J5" s="2" t="str">
        <f>TEXT(Table1[[#This Row],[Date]],"dddd")</f>
        <v>Thursday</v>
      </c>
      <c r="K5" s="2" t="str">
        <f>TEXT(Table1[[#This Row],[Date]],"mmmm")</f>
        <v>May</v>
      </c>
      <c r="L5" s="3" t="str">
        <f>TEXT(Table1[[#This Row],[Date]],"yyyy")</f>
        <v>2012</v>
      </c>
    </row>
    <row r="6" spans="3:12" x14ac:dyDescent="0.3">
      <c r="C6" s="4">
        <v>41033</v>
      </c>
      <c r="D6" s="5">
        <v>11.390000343322701</v>
      </c>
      <c r="E6" s="5">
        <v>11.486000061035099</v>
      </c>
      <c r="F6" s="5">
        <v>11.1870002746582</v>
      </c>
      <c r="G6" s="5">
        <v>11.199500083923301</v>
      </c>
      <c r="H6" s="5">
        <v>11.199500083923301</v>
      </c>
      <c r="I6" s="5">
        <v>91704000</v>
      </c>
      <c r="J6" s="2" t="str">
        <f>TEXT(Table1[[#This Row],[Date]],"dddd")</f>
        <v>Friday</v>
      </c>
      <c r="K6" s="5" t="str">
        <f>TEXT(Table1[[#This Row],[Date]],"mmmm")</f>
        <v>May</v>
      </c>
      <c r="L6" s="3" t="str">
        <f>TEXT(Table1[[#This Row],[Date]],"yyyy")</f>
        <v>2012</v>
      </c>
    </row>
    <row r="7" spans="3:12" x14ac:dyDescent="0.3">
      <c r="C7" s="1">
        <v>41036</v>
      </c>
      <c r="D7" s="2">
        <v>11.1180000305175</v>
      </c>
      <c r="E7" s="2">
        <v>11.3435001373291</v>
      </c>
      <c r="F7" s="2">
        <v>11.1145000457763</v>
      </c>
      <c r="G7" s="2">
        <v>11.2580003738403</v>
      </c>
      <c r="H7" s="2">
        <v>11.2580003738403</v>
      </c>
      <c r="I7" s="2">
        <v>66286000</v>
      </c>
      <c r="J7" s="2" t="str">
        <f>TEXT(Table1[[#This Row],[Date]],"dddd")</f>
        <v>Monday</v>
      </c>
      <c r="K7" s="2" t="str">
        <f>TEXT(Table1[[#This Row],[Date]],"mmmm")</f>
        <v>May</v>
      </c>
      <c r="L7" s="3" t="str">
        <f>TEXT(Table1[[#This Row],[Date]],"yyyy")</f>
        <v>2012</v>
      </c>
    </row>
    <row r="8" spans="3:12" x14ac:dyDescent="0.3">
      <c r="C8" s="4">
        <v>41037</v>
      </c>
      <c r="D8" s="5">
        <v>11.1575002670288</v>
      </c>
      <c r="E8" s="5">
        <v>11.2694997787475</v>
      </c>
      <c r="F8" s="5">
        <v>10.9099998474121</v>
      </c>
      <c r="G8" s="5">
        <v>11.194999694824199</v>
      </c>
      <c r="H8" s="5">
        <v>11.194999694824199</v>
      </c>
      <c r="I8" s="5">
        <v>90448000</v>
      </c>
      <c r="J8" s="2" t="str">
        <f>TEXT(Table1[[#This Row],[Date]],"dddd")</f>
        <v>Tuesday</v>
      </c>
      <c r="K8" s="5" t="str">
        <f>TEXT(Table1[[#This Row],[Date]],"mmmm")</f>
        <v>May</v>
      </c>
      <c r="L8" s="3" t="str">
        <f>TEXT(Table1[[#This Row],[Date]],"yyyy")</f>
        <v>2012</v>
      </c>
    </row>
    <row r="9" spans="3:12" x14ac:dyDescent="0.3">
      <c r="C9" s="1">
        <v>41038</v>
      </c>
      <c r="D9" s="2">
        <v>11.0295000076293</v>
      </c>
      <c r="E9" s="2">
        <v>11.288999557495099</v>
      </c>
      <c r="F9" s="2">
        <v>11.0080003738403</v>
      </c>
      <c r="G9" s="2">
        <v>11.1490001678466</v>
      </c>
      <c r="H9" s="2">
        <v>11.1490001678466</v>
      </c>
      <c r="I9" s="2">
        <v>74240000</v>
      </c>
      <c r="J9" s="2" t="str">
        <f>TEXT(Table1[[#This Row],[Date]],"dddd")</f>
        <v>Wednesday</v>
      </c>
      <c r="K9" s="2" t="str">
        <f>TEXT(Table1[[#This Row],[Date]],"mmmm")</f>
        <v>May</v>
      </c>
      <c r="L9" s="3" t="str">
        <f>TEXT(Table1[[#This Row],[Date]],"yyyy")</f>
        <v>2012</v>
      </c>
    </row>
    <row r="10" spans="3:12" x14ac:dyDescent="0.3">
      <c r="C10" s="4">
        <v>41039</v>
      </c>
      <c r="D10" s="5">
        <v>11.1955003738403</v>
      </c>
      <c r="E10" s="5">
        <v>11.454000473022401</v>
      </c>
      <c r="F10" s="5">
        <v>11.0974998474121</v>
      </c>
      <c r="G10" s="5">
        <v>11.334500312805099</v>
      </c>
      <c r="H10" s="5">
        <v>11.334500312805099</v>
      </c>
      <c r="I10" s="5">
        <v>92968000</v>
      </c>
      <c r="J10" s="2" t="str">
        <f>TEXT(Table1[[#This Row],[Date]],"dddd")</f>
        <v>Thursday</v>
      </c>
      <c r="K10" s="5" t="str">
        <f>TEXT(Table1[[#This Row],[Date]],"mmmm")</f>
        <v>May</v>
      </c>
      <c r="L10" s="3" t="str">
        <f>TEXT(Table1[[#This Row],[Date]],"yyyy")</f>
        <v>2012</v>
      </c>
    </row>
    <row r="11" spans="3:12" x14ac:dyDescent="0.3">
      <c r="C11" s="1">
        <v>41040</v>
      </c>
      <c r="D11" s="2">
        <v>11.2974996566772</v>
      </c>
      <c r="E11" s="2">
        <v>11.5340003967285</v>
      </c>
      <c r="F11" s="2">
        <v>11.2864999771118</v>
      </c>
      <c r="G11" s="2">
        <v>11.383999824523899</v>
      </c>
      <c r="H11" s="2">
        <v>11.383999824523899</v>
      </c>
      <c r="I11" s="2">
        <v>83872000</v>
      </c>
      <c r="J11" s="2" t="str">
        <f>TEXT(Table1[[#This Row],[Date]],"dddd")</f>
        <v>Friday</v>
      </c>
      <c r="K11" s="2" t="str">
        <f>TEXT(Table1[[#This Row],[Date]],"mmmm")</f>
        <v>May</v>
      </c>
      <c r="L11" s="3" t="str">
        <f>TEXT(Table1[[#This Row],[Date]],"yyyy")</f>
        <v>2012</v>
      </c>
    </row>
    <row r="12" spans="3:12" x14ac:dyDescent="0.3">
      <c r="C12" s="4">
        <v>41043</v>
      </c>
      <c r="D12" s="5">
        <v>11.279999732971101</v>
      </c>
      <c r="E12" s="5">
        <v>11.3645000457763</v>
      </c>
      <c r="F12" s="5">
        <v>11.125499725341699</v>
      </c>
      <c r="G12" s="5">
        <v>11.146499633789</v>
      </c>
      <c r="H12" s="5">
        <v>11.146499633789</v>
      </c>
      <c r="I12" s="5">
        <v>61932000</v>
      </c>
      <c r="J12" s="2" t="str">
        <f>TEXT(Table1[[#This Row],[Date]],"dddd")</f>
        <v>Monday</v>
      </c>
      <c r="K12" s="5" t="str">
        <f>TEXT(Table1[[#This Row],[Date]],"mmmm")</f>
        <v>May</v>
      </c>
      <c r="L12" s="3" t="str">
        <f>TEXT(Table1[[#This Row],[Date]],"yyyy")</f>
        <v>2012</v>
      </c>
    </row>
    <row r="13" spans="3:12" x14ac:dyDescent="0.3">
      <c r="C13" s="1">
        <v>41044</v>
      </c>
      <c r="D13" s="2">
        <v>11.324999809265099</v>
      </c>
      <c r="E13" s="2">
        <v>11.530500411987299</v>
      </c>
      <c r="F13" s="2">
        <v>11.149999618530201</v>
      </c>
      <c r="G13" s="2">
        <v>11.219499588012599</v>
      </c>
      <c r="H13" s="2">
        <v>11.219499588012599</v>
      </c>
      <c r="I13" s="2">
        <v>114274000</v>
      </c>
      <c r="J13" s="2" t="str">
        <f>TEXT(Table1[[#This Row],[Date]],"dddd")</f>
        <v>Tuesday</v>
      </c>
      <c r="K13" s="2" t="str">
        <f>TEXT(Table1[[#This Row],[Date]],"mmmm")</f>
        <v>May</v>
      </c>
      <c r="L13" s="3" t="str">
        <f>TEXT(Table1[[#This Row],[Date]],"yyyy")</f>
        <v>2012</v>
      </c>
    </row>
    <row r="14" spans="3:12" x14ac:dyDescent="0.3">
      <c r="C14" s="4">
        <v>41045</v>
      </c>
      <c r="D14" s="5">
        <v>11.25</v>
      </c>
      <c r="E14" s="5">
        <v>11.399999618530201</v>
      </c>
      <c r="F14" s="5">
        <v>11.125</v>
      </c>
      <c r="G14" s="5">
        <v>11.203000068664499</v>
      </c>
      <c r="H14" s="5">
        <v>11.203000068664499</v>
      </c>
      <c r="I14" s="5">
        <v>105236000</v>
      </c>
      <c r="J14" s="2" t="str">
        <f>TEXT(Table1[[#This Row],[Date]],"dddd")</f>
        <v>Wednesday</v>
      </c>
      <c r="K14" s="5" t="str">
        <f>TEXT(Table1[[#This Row],[Date]],"mmmm")</f>
        <v>May</v>
      </c>
      <c r="L14" s="3" t="str">
        <f>TEXT(Table1[[#This Row],[Date]],"yyyy")</f>
        <v>2012</v>
      </c>
    </row>
    <row r="15" spans="3:12" x14ac:dyDescent="0.3">
      <c r="C15" s="1">
        <v>41046</v>
      </c>
      <c r="D15" s="2">
        <v>11.252499580383301</v>
      </c>
      <c r="E15" s="2">
        <v>11.300000190734799</v>
      </c>
      <c r="F15" s="2">
        <v>10.9045000076293</v>
      </c>
      <c r="G15" s="2">
        <v>10.918000221252401</v>
      </c>
      <c r="H15" s="2">
        <v>10.918000221252401</v>
      </c>
      <c r="I15" s="2">
        <v>90110000</v>
      </c>
      <c r="J15" s="2" t="str">
        <f>TEXT(Table1[[#This Row],[Date]],"dddd")</f>
        <v>Thursday</v>
      </c>
      <c r="K15" s="2" t="str">
        <f>TEXT(Table1[[#This Row],[Date]],"mmmm")</f>
        <v>May</v>
      </c>
      <c r="L15" s="3" t="str">
        <f>TEXT(Table1[[#This Row],[Date]],"yyyy")</f>
        <v>2012</v>
      </c>
    </row>
    <row r="16" spans="3:12" x14ac:dyDescent="0.3">
      <c r="C16" s="4">
        <v>41047</v>
      </c>
      <c r="D16" s="5">
        <v>10.9704999923706</v>
      </c>
      <c r="E16" s="5">
        <v>10.981499671936</v>
      </c>
      <c r="F16" s="5">
        <v>10.640500068664499</v>
      </c>
      <c r="G16" s="5">
        <v>10.6925001144409</v>
      </c>
      <c r="H16" s="5">
        <v>10.6925001144409</v>
      </c>
      <c r="I16" s="5">
        <v>104634000</v>
      </c>
      <c r="J16" s="2" t="str">
        <f>TEXT(Table1[[#This Row],[Date]],"dddd")</f>
        <v>Friday</v>
      </c>
      <c r="K16" s="5" t="str">
        <f>TEXT(Table1[[#This Row],[Date]],"mmmm")</f>
        <v>May</v>
      </c>
      <c r="L16" s="3" t="str">
        <f>TEXT(Table1[[#This Row],[Date]],"yyyy")</f>
        <v>2012</v>
      </c>
    </row>
    <row r="17" spans="3:12" x14ac:dyDescent="0.3">
      <c r="C17" s="1">
        <v>41050</v>
      </c>
      <c r="D17" s="2">
        <v>10.701499938964799</v>
      </c>
      <c r="E17" s="2">
        <v>10.998999595641999</v>
      </c>
      <c r="F17" s="2">
        <v>10.6409997940063</v>
      </c>
      <c r="G17" s="2">
        <v>10.905500411987299</v>
      </c>
      <c r="H17" s="2">
        <v>10.905500411987299</v>
      </c>
      <c r="I17" s="2">
        <v>71596000</v>
      </c>
      <c r="J17" s="2" t="str">
        <f>TEXT(Table1[[#This Row],[Date]],"dddd")</f>
        <v>Monday</v>
      </c>
      <c r="K17" s="2" t="str">
        <f>TEXT(Table1[[#This Row],[Date]],"mmmm")</f>
        <v>May</v>
      </c>
      <c r="L17" s="3" t="str">
        <f>TEXT(Table1[[#This Row],[Date]],"yyyy")</f>
        <v>2012</v>
      </c>
    </row>
    <row r="18" spans="3:12" x14ac:dyDescent="0.3">
      <c r="C18" s="4">
        <v>41051</v>
      </c>
      <c r="D18" s="5">
        <v>10.915499687194799</v>
      </c>
      <c r="E18" s="5">
        <v>10.943499565124499</v>
      </c>
      <c r="F18" s="5">
        <v>10.697999954223601</v>
      </c>
      <c r="G18" s="5">
        <v>10.766500473022401</v>
      </c>
      <c r="H18" s="5">
        <v>10.766500473022401</v>
      </c>
      <c r="I18" s="5">
        <v>74662000</v>
      </c>
      <c r="J18" s="2" t="str">
        <f>TEXT(Table1[[#This Row],[Date]],"dddd")</f>
        <v>Tuesday</v>
      </c>
      <c r="K18" s="5" t="str">
        <f>TEXT(Table1[[#This Row],[Date]],"mmmm")</f>
        <v>May</v>
      </c>
      <c r="L18" s="3" t="str">
        <f>TEXT(Table1[[#This Row],[Date]],"yyyy")</f>
        <v>2012</v>
      </c>
    </row>
    <row r="19" spans="3:12" x14ac:dyDescent="0.3">
      <c r="C19" s="1">
        <v>41052</v>
      </c>
      <c r="D19" s="2">
        <v>10.735500335693301</v>
      </c>
      <c r="E19" s="2">
        <v>10.877499580383301</v>
      </c>
      <c r="F19" s="2">
        <v>10.5590000152587</v>
      </c>
      <c r="G19" s="2">
        <v>10.864000320434499</v>
      </c>
      <c r="H19" s="2">
        <v>10.864000320434499</v>
      </c>
      <c r="I19" s="2">
        <v>84876000</v>
      </c>
      <c r="J19" s="2" t="str">
        <f>TEXT(Table1[[#This Row],[Date]],"dddd")</f>
        <v>Wednesday</v>
      </c>
      <c r="K19" s="2" t="str">
        <f>TEXT(Table1[[#This Row],[Date]],"mmmm")</f>
        <v>May</v>
      </c>
      <c r="L19" s="3" t="str">
        <f>TEXT(Table1[[#This Row],[Date]],"yyyy")</f>
        <v>2012</v>
      </c>
    </row>
    <row r="20" spans="3:12" x14ac:dyDescent="0.3">
      <c r="C20" s="4">
        <v>41053</v>
      </c>
      <c r="D20" s="5">
        <v>10.8489999771118</v>
      </c>
      <c r="E20" s="5">
        <v>10.8830003738403</v>
      </c>
      <c r="F20" s="5">
        <v>10.6350002288818</v>
      </c>
      <c r="G20" s="5">
        <v>10.762000083923301</v>
      </c>
      <c r="H20" s="5">
        <v>10.762000083923301</v>
      </c>
      <c r="I20" s="5">
        <v>62822000</v>
      </c>
      <c r="J20" s="2" t="str">
        <f>TEXT(Table1[[#This Row],[Date]],"dddd")</f>
        <v>Thursday</v>
      </c>
      <c r="K20" s="5" t="str">
        <f>TEXT(Table1[[#This Row],[Date]],"mmmm")</f>
        <v>May</v>
      </c>
      <c r="L20" s="3" t="str">
        <f>TEXT(Table1[[#This Row],[Date]],"yyyy")</f>
        <v>2012</v>
      </c>
    </row>
    <row r="21" spans="3:12" x14ac:dyDescent="0.3">
      <c r="C21" s="1">
        <v>41054</v>
      </c>
      <c r="D21" s="2">
        <v>10.7495002746582</v>
      </c>
      <c r="E21" s="2">
        <v>10.7989997863769</v>
      </c>
      <c r="F21" s="2">
        <v>10.611000061035099</v>
      </c>
      <c r="G21" s="2">
        <v>10.6444997787475</v>
      </c>
      <c r="H21" s="2">
        <v>10.6444997787475</v>
      </c>
      <c r="I21" s="2">
        <v>43428000</v>
      </c>
      <c r="J21" s="2" t="str">
        <f>TEXT(Table1[[#This Row],[Date]],"dddd")</f>
        <v>Friday</v>
      </c>
      <c r="K21" s="2" t="str">
        <f>TEXT(Table1[[#This Row],[Date]],"mmmm")</f>
        <v>May</v>
      </c>
      <c r="L21" s="3" t="str">
        <f>TEXT(Table1[[#This Row],[Date]],"yyyy")</f>
        <v>2012</v>
      </c>
    </row>
    <row r="22" spans="3:12" x14ac:dyDescent="0.3">
      <c r="C22" s="4">
        <v>41058</v>
      </c>
      <c r="D22" s="5">
        <v>10.7150001525878</v>
      </c>
      <c r="E22" s="5">
        <v>10.827500343322701</v>
      </c>
      <c r="F22" s="5">
        <v>10.6145000457763</v>
      </c>
      <c r="G22" s="5">
        <v>10.737500190734799</v>
      </c>
      <c r="H22" s="5">
        <v>10.737500190734799</v>
      </c>
      <c r="I22" s="5">
        <v>53878000</v>
      </c>
      <c r="J22" s="2" t="str">
        <f>TEXT(Table1[[#This Row],[Date]],"dddd")</f>
        <v>Tuesday</v>
      </c>
      <c r="K22" s="5" t="str">
        <f>TEXT(Table1[[#This Row],[Date]],"mmmm")</f>
        <v>May</v>
      </c>
      <c r="L22" s="3" t="str">
        <f>TEXT(Table1[[#This Row],[Date]],"yyyy")</f>
        <v>2012</v>
      </c>
    </row>
    <row r="23" spans="3:12" x14ac:dyDescent="0.3">
      <c r="C23" s="1">
        <v>41059</v>
      </c>
      <c r="D23" s="2">
        <v>10.6070003509521</v>
      </c>
      <c r="E23" s="2">
        <v>10.6490001678466</v>
      </c>
      <c r="F23" s="2">
        <v>10.387499809265099</v>
      </c>
      <c r="G23" s="2">
        <v>10.4615001678466</v>
      </c>
      <c r="H23" s="2">
        <v>10.4615001678466</v>
      </c>
      <c r="I23" s="2">
        <v>81564000</v>
      </c>
      <c r="J23" s="2" t="str">
        <f>TEXT(Table1[[#This Row],[Date]],"dddd")</f>
        <v>Wednesday</v>
      </c>
      <c r="K23" s="2" t="str">
        <f>TEXT(Table1[[#This Row],[Date]],"mmmm")</f>
        <v>May</v>
      </c>
      <c r="L23" s="3" t="str">
        <f>TEXT(Table1[[#This Row],[Date]],"yyyy")</f>
        <v>2012</v>
      </c>
    </row>
    <row r="24" spans="3:12" x14ac:dyDescent="0.3">
      <c r="C24" s="4">
        <v>41060</v>
      </c>
      <c r="D24" s="5">
        <v>10.4739999771118</v>
      </c>
      <c r="E24" s="5">
        <v>10.6894998550415</v>
      </c>
      <c r="F24" s="5">
        <v>10.355500221252401</v>
      </c>
      <c r="G24" s="5">
        <v>10.645500183105399</v>
      </c>
      <c r="H24" s="5">
        <v>10.645500183105399</v>
      </c>
      <c r="I24" s="5">
        <v>98880000</v>
      </c>
      <c r="J24" s="2" t="str">
        <f>TEXT(Table1[[#This Row],[Date]],"dddd")</f>
        <v>Thursday</v>
      </c>
      <c r="K24" s="5" t="str">
        <f>TEXT(Table1[[#This Row],[Date]],"mmmm")</f>
        <v>May</v>
      </c>
      <c r="L24" s="3" t="str">
        <f>TEXT(Table1[[#This Row],[Date]],"yyyy")</f>
        <v>2012</v>
      </c>
    </row>
    <row r="25" spans="3:12" x14ac:dyDescent="0.3">
      <c r="C25" s="1">
        <v>41061</v>
      </c>
      <c r="D25" s="2">
        <v>10.421999931335399</v>
      </c>
      <c r="E25" s="2">
        <v>10.561499595641999</v>
      </c>
      <c r="F25" s="2">
        <v>10.3649997711181</v>
      </c>
      <c r="G25" s="2">
        <v>10.41100025177</v>
      </c>
      <c r="H25" s="2">
        <v>10.41100025177</v>
      </c>
      <c r="I25" s="2">
        <v>79030000</v>
      </c>
      <c r="J25" s="2" t="str">
        <f>TEXT(Table1[[#This Row],[Date]],"dddd")</f>
        <v>Friday</v>
      </c>
      <c r="K25" s="2" t="str">
        <f>TEXT(Table1[[#This Row],[Date]],"mmmm")</f>
        <v>June</v>
      </c>
      <c r="L25" s="3" t="str">
        <f>TEXT(Table1[[#This Row],[Date]],"yyyy")</f>
        <v>2012</v>
      </c>
    </row>
    <row r="26" spans="3:12" x14ac:dyDescent="0.3">
      <c r="C26" s="4">
        <v>41064</v>
      </c>
      <c r="D26" s="5">
        <v>10.369999885559</v>
      </c>
      <c r="E26" s="5">
        <v>10.767499923706</v>
      </c>
      <c r="F26" s="5">
        <v>10.318499565124499</v>
      </c>
      <c r="G26" s="5">
        <v>10.7285003662109</v>
      </c>
      <c r="H26" s="5">
        <v>10.7285003662109</v>
      </c>
      <c r="I26" s="5">
        <v>85992000</v>
      </c>
      <c r="J26" s="2" t="str">
        <f>TEXT(Table1[[#This Row],[Date]],"dddd")</f>
        <v>Monday</v>
      </c>
      <c r="K26" s="5" t="str">
        <f>TEXT(Table1[[#This Row],[Date]],"mmmm")</f>
        <v>June</v>
      </c>
      <c r="L26" s="3" t="str">
        <f>TEXT(Table1[[#This Row],[Date]],"yyyy")</f>
        <v>2012</v>
      </c>
    </row>
    <row r="27" spans="3:12" x14ac:dyDescent="0.3">
      <c r="C27" s="1">
        <v>41065</v>
      </c>
      <c r="D27" s="2">
        <v>10.6925001144409</v>
      </c>
      <c r="E27" s="2">
        <v>10.843000411987299</v>
      </c>
      <c r="F27" s="2">
        <v>10.557999610900801</v>
      </c>
      <c r="G27" s="2">
        <v>10.660499572753899</v>
      </c>
      <c r="H27" s="2">
        <v>10.660499572753899</v>
      </c>
      <c r="I27" s="2">
        <v>70878000</v>
      </c>
      <c r="J27" s="2" t="str">
        <f>TEXT(Table1[[#This Row],[Date]],"dddd")</f>
        <v>Tuesday</v>
      </c>
      <c r="K27" s="2" t="str">
        <f>TEXT(Table1[[#This Row],[Date]],"mmmm")</f>
        <v>June</v>
      </c>
      <c r="L27" s="3" t="str">
        <f>TEXT(Table1[[#This Row],[Date]],"yyyy")</f>
        <v>2012</v>
      </c>
    </row>
    <row r="28" spans="3:12" x14ac:dyDescent="0.3">
      <c r="C28" s="4">
        <v>41066</v>
      </c>
      <c r="D28" s="5">
        <v>10.731499671936</v>
      </c>
      <c r="E28" s="5">
        <v>10.920000076293899</v>
      </c>
      <c r="F28" s="5">
        <v>10.725999832153301</v>
      </c>
      <c r="G28" s="5">
        <v>10.881999969482401</v>
      </c>
      <c r="H28" s="5">
        <v>10.881999969482401</v>
      </c>
      <c r="I28" s="5">
        <v>54202000</v>
      </c>
      <c r="J28" s="2" t="str">
        <f>TEXT(Table1[[#This Row],[Date]],"dddd")</f>
        <v>Wednesday</v>
      </c>
      <c r="K28" s="5" t="str">
        <f>TEXT(Table1[[#This Row],[Date]],"mmmm")</f>
        <v>June</v>
      </c>
      <c r="L28" s="3" t="str">
        <f>TEXT(Table1[[#This Row],[Date]],"yyyy")</f>
        <v>2012</v>
      </c>
    </row>
    <row r="29" spans="3:12" x14ac:dyDescent="0.3">
      <c r="C29" s="1">
        <v>41067</v>
      </c>
      <c r="D29" s="2">
        <v>10.982500076293899</v>
      </c>
      <c r="E29" s="2">
        <v>11.074500083923301</v>
      </c>
      <c r="F29" s="2">
        <v>10.905500411987299</v>
      </c>
      <c r="G29" s="2">
        <v>10.939999580383301</v>
      </c>
      <c r="H29" s="2">
        <v>10.939999580383301</v>
      </c>
      <c r="I29" s="2">
        <v>70078000</v>
      </c>
      <c r="J29" s="2" t="str">
        <f>TEXT(Table1[[#This Row],[Date]],"dddd")</f>
        <v>Thursday</v>
      </c>
      <c r="K29" s="2" t="str">
        <f>TEXT(Table1[[#This Row],[Date]],"mmmm")</f>
        <v>June</v>
      </c>
      <c r="L29" s="3" t="str">
        <f>TEXT(Table1[[#This Row],[Date]],"yyyy")</f>
        <v>2012</v>
      </c>
    </row>
    <row r="30" spans="3:12" x14ac:dyDescent="0.3">
      <c r="C30" s="4">
        <v>41068</v>
      </c>
      <c r="D30" s="5">
        <v>10.9305000305175</v>
      </c>
      <c r="E30" s="5">
        <v>10.970999717712401</v>
      </c>
      <c r="F30" s="5">
        <v>10.833000183105399</v>
      </c>
      <c r="G30" s="5">
        <v>10.9239997863769</v>
      </c>
      <c r="H30" s="5">
        <v>10.9239997863769</v>
      </c>
      <c r="I30" s="5">
        <v>57540000</v>
      </c>
      <c r="J30" s="2" t="str">
        <f>TEXT(Table1[[#This Row],[Date]],"dddd")</f>
        <v>Friday</v>
      </c>
      <c r="K30" s="5" t="str">
        <f>TEXT(Table1[[#This Row],[Date]],"mmmm")</f>
        <v>June</v>
      </c>
      <c r="L30" s="3" t="str">
        <f>TEXT(Table1[[#This Row],[Date]],"yyyy")</f>
        <v>2012</v>
      </c>
    </row>
    <row r="31" spans="3:12" x14ac:dyDescent="0.3">
      <c r="C31" s="1">
        <v>41071</v>
      </c>
      <c r="D31" s="2">
        <v>10.8745002746582</v>
      </c>
      <c r="E31" s="2">
        <v>11.043499946594199</v>
      </c>
      <c r="F31" s="2">
        <v>10.7600002288818</v>
      </c>
      <c r="G31" s="2">
        <v>10.824999809265099</v>
      </c>
      <c r="H31" s="2">
        <v>10.824999809265099</v>
      </c>
      <c r="I31" s="2">
        <v>74982000</v>
      </c>
      <c r="J31" s="2" t="str">
        <f>TEXT(Table1[[#This Row],[Date]],"dddd")</f>
        <v>Monday</v>
      </c>
      <c r="K31" s="2" t="str">
        <f>TEXT(Table1[[#This Row],[Date]],"mmmm")</f>
        <v>June</v>
      </c>
      <c r="L31" s="3" t="str">
        <f>TEXT(Table1[[#This Row],[Date]],"yyyy")</f>
        <v>2012</v>
      </c>
    </row>
    <row r="32" spans="3:12" x14ac:dyDescent="0.3">
      <c r="C32" s="4">
        <v>41072</v>
      </c>
      <c r="D32" s="5">
        <v>10.882499694824199</v>
      </c>
      <c r="E32" s="5">
        <v>10.899999618530201</v>
      </c>
      <c r="F32" s="5">
        <v>10.725999832153301</v>
      </c>
      <c r="G32" s="5">
        <v>10.8210000991821</v>
      </c>
      <c r="H32" s="5">
        <v>10.8210000991821</v>
      </c>
      <c r="I32" s="5">
        <v>56666000</v>
      </c>
      <c r="J32" s="2" t="str">
        <f>TEXT(Table1[[#This Row],[Date]],"dddd")</f>
        <v>Tuesday</v>
      </c>
      <c r="K32" s="5" t="str">
        <f>TEXT(Table1[[#This Row],[Date]],"mmmm")</f>
        <v>June</v>
      </c>
      <c r="L32" s="3" t="str">
        <f>TEXT(Table1[[#This Row],[Date]],"yyyy")</f>
        <v>2012</v>
      </c>
    </row>
    <row r="33" spans="3:12" x14ac:dyDescent="0.3">
      <c r="C33" s="1">
        <v>41073</v>
      </c>
      <c r="D33" s="2">
        <v>10.7760000228881</v>
      </c>
      <c r="E33" s="2">
        <v>10.869000434875399</v>
      </c>
      <c r="F33" s="2">
        <v>10.6759996414184</v>
      </c>
      <c r="G33" s="2">
        <v>10.7364997863769</v>
      </c>
      <c r="H33" s="2">
        <v>10.7364997863769</v>
      </c>
      <c r="I33" s="2">
        <v>46504000</v>
      </c>
      <c r="J33" s="2" t="str">
        <f>TEXT(Table1[[#This Row],[Date]],"dddd")</f>
        <v>Wednesday</v>
      </c>
      <c r="K33" s="2" t="str">
        <f>TEXT(Table1[[#This Row],[Date]],"mmmm")</f>
        <v>June</v>
      </c>
      <c r="L33" s="3" t="str">
        <f>TEXT(Table1[[#This Row],[Date]],"yyyy")</f>
        <v>2012</v>
      </c>
    </row>
    <row r="34" spans="3:12" x14ac:dyDescent="0.3">
      <c r="C34" s="4">
        <v>41074</v>
      </c>
      <c r="D34" s="5">
        <v>10.7629995346069</v>
      </c>
      <c r="E34" s="5">
        <v>10.824999809265099</v>
      </c>
      <c r="F34" s="5">
        <v>10.6280002593994</v>
      </c>
      <c r="G34" s="5">
        <v>10.7224998474121</v>
      </c>
      <c r="H34" s="5">
        <v>10.7224998474121</v>
      </c>
      <c r="I34" s="5">
        <v>61218000</v>
      </c>
      <c r="J34" s="2" t="str">
        <f>TEXT(Table1[[#This Row],[Date]],"dddd")</f>
        <v>Thursday</v>
      </c>
      <c r="K34" s="5" t="str">
        <f>TEXT(Table1[[#This Row],[Date]],"mmmm")</f>
        <v>June</v>
      </c>
      <c r="L34" s="3" t="str">
        <f>TEXT(Table1[[#This Row],[Date]],"yyyy")</f>
        <v>2012</v>
      </c>
    </row>
    <row r="35" spans="3:12" x14ac:dyDescent="0.3">
      <c r="C35" s="1">
        <v>41075</v>
      </c>
      <c r="D35" s="2">
        <v>10.7644996643066</v>
      </c>
      <c r="E35" s="2">
        <v>10.9665002822875</v>
      </c>
      <c r="F35" s="2">
        <v>10.722999572753899</v>
      </c>
      <c r="G35" s="2">
        <v>10.9174995422363</v>
      </c>
      <c r="H35" s="2">
        <v>10.9174995422363</v>
      </c>
      <c r="I35" s="2">
        <v>75704000</v>
      </c>
      <c r="J35" s="2" t="str">
        <f>TEXT(Table1[[#This Row],[Date]],"dddd")</f>
        <v>Friday</v>
      </c>
      <c r="K35" s="2" t="str">
        <f>TEXT(Table1[[#This Row],[Date]],"mmmm")</f>
        <v>June</v>
      </c>
      <c r="L35" s="3" t="str">
        <f>TEXT(Table1[[#This Row],[Date]],"yyyy")</f>
        <v>2012</v>
      </c>
    </row>
    <row r="36" spans="3:12" x14ac:dyDescent="0.3">
      <c r="C36" s="4">
        <v>41078</v>
      </c>
      <c r="D36" s="5">
        <v>10.864000320434499</v>
      </c>
      <c r="E36" s="5">
        <v>11.187999725341699</v>
      </c>
      <c r="F36" s="5">
        <v>10.8365001678466</v>
      </c>
      <c r="G36" s="5">
        <v>11.1330003738403</v>
      </c>
      <c r="H36" s="5">
        <v>11.1330003738403</v>
      </c>
      <c r="I36" s="5">
        <v>67392000</v>
      </c>
      <c r="J36" s="2" t="str">
        <f>TEXT(Table1[[#This Row],[Date]],"dddd")</f>
        <v>Monday</v>
      </c>
      <c r="K36" s="5" t="str">
        <f>TEXT(Table1[[#This Row],[Date]],"mmmm")</f>
        <v>June</v>
      </c>
      <c r="L36" s="3" t="str">
        <f>TEXT(Table1[[#This Row],[Date]],"yyyy")</f>
        <v>2012</v>
      </c>
    </row>
    <row r="37" spans="3:12" x14ac:dyDescent="0.3">
      <c r="C37" s="1">
        <v>41079</v>
      </c>
      <c r="D37" s="2">
        <v>11.1630001068115</v>
      </c>
      <c r="E37" s="2">
        <v>11.2600002288818</v>
      </c>
      <c r="F37" s="2">
        <v>11.083000183105399</v>
      </c>
      <c r="G37" s="2">
        <v>11.201499938964799</v>
      </c>
      <c r="H37" s="2">
        <v>11.201499938964799</v>
      </c>
      <c r="I37" s="2">
        <v>54332000</v>
      </c>
      <c r="J37" s="2" t="str">
        <f>TEXT(Table1[[#This Row],[Date]],"dddd")</f>
        <v>Tuesday</v>
      </c>
      <c r="K37" s="2" t="str">
        <f>TEXT(Table1[[#This Row],[Date]],"mmmm")</f>
        <v>June</v>
      </c>
      <c r="L37" s="3" t="str">
        <f>TEXT(Table1[[#This Row],[Date]],"yyyy")</f>
        <v>2012</v>
      </c>
    </row>
    <row r="38" spans="3:12" x14ac:dyDescent="0.3">
      <c r="C38" s="4">
        <v>41080</v>
      </c>
      <c r="D38" s="5">
        <v>11.2255001068115</v>
      </c>
      <c r="E38" s="5">
        <v>11.237000465393001</v>
      </c>
      <c r="F38" s="5">
        <v>11.041999816894499</v>
      </c>
      <c r="G38" s="5">
        <v>11.1510000228881</v>
      </c>
      <c r="H38" s="5">
        <v>11.1510000228881</v>
      </c>
      <c r="I38" s="5">
        <v>48888000</v>
      </c>
      <c r="J38" s="2" t="str">
        <f>TEXT(Table1[[#This Row],[Date]],"dddd")</f>
        <v>Wednesday</v>
      </c>
      <c r="K38" s="5" t="str">
        <f>TEXT(Table1[[#This Row],[Date]],"mmmm")</f>
        <v>June</v>
      </c>
      <c r="L38" s="3" t="str">
        <f>TEXT(Table1[[#This Row],[Date]],"yyyy")</f>
        <v>2012</v>
      </c>
    </row>
    <row r="39" spans="3:12" x14ac:dyDescent="0.3">
      <c r="C39" s="1">
        <v>41081</v>
      </c>
      <c r="D39" s="2">
        <v>11.1920003890991</v>
      </c>
      <c r="E39" s="2">
        <v>11.301500320434499</v>
      </c>
      <c r="F39" s="2">
        <v>11.0260000228881</v>
      </c>
      <c r="G39" s="2">
        <v>11.028499603271401</v>
      </c>
      <c r="H39" s="2">
        <v>11.028499603271401</v>
      </c>
      <c r="I39" s="2">
        <v>56860000</v>
      </c>
      <c r="J39" s="2" t="str">
        <f>TEXT(Table1[[#This Row],[Date]],"dddd")</f>
        <v>Thursday</v>
      </c>
      <c r="K39" s="2" t="str">
        <f>TEXT(Table1[[#This Row],[Date]],"mmmm")</f>
        <v>June</v>
      </c>
      <c r="L39" s="3" t="str">
        <f>TEXT(Table1[[#This Row],[Date]],"yyyy")</f>
        <v>2012</v>
      </c>
    </row>
    <row r="40" spans="3:12" x14ac:dyDescent="0.3">
      <c r="C40" s="4">
        <v>41082</v>
      </c>
      <c r="D40" s="5">
        <v>11.0915002822875</v>
      </c>
      <c r="E40" s="5">
        <v>11.125499725341699</v>
      </c>
      <c r="F40" s="5">
        <v>10.967499732971101</v>
      </c>
      <c r="G40" s="5">
        <v>11.1079998016357</v>
      </c>
      <c r="H40" s="5">
        <v>11.1079998016357</v>
      </c>
      <c r="I40" s="5">
        <v>43750000</v>
      </c>
      <c r="J40" s="2" t="str">
        <f>TEXT(Table1[[#This Row],[Date]],"dddd")</f>
        <v>Friday</v>
      </c>
      <c r="K40" s="5" t="str">
        <f>TEXT(Table1[[#This Row],[Date]],"mmmm")</f>
        <v>June</v>
      </c>
      <c r="L40" s="3" t="str">
        <f>TEXT(Table1[[#This Row],[Date]],"yyyy")</f>
        <v>2012</v>
      </c>
    </row>
    <row r="41" spans="3:12" x14ac:dyDescent="0.3">
      <c r="C41" s="1">
        <v>41085</v>
      </c>
      <c r="D41" s="2">
        <v>11.015000343322701</v>
      </c>
      <c r="E41" s="2">
        <v>11.079500198364199</v>
      </c>
      <c r="F41" s="2">
        <v>10.899999618530201</v>
      </c>
      <c r="G41" s="2">
        <v>11.0034999847412</v>
      </c>
      <c r="H41" s="2">
        <v>11.0034999847412</v>
      </c>
      <c r="I41" s="2">
        <v>47646000</v>
      </c>
      <c r="J41" s="2" t="str">
        <f>TEXT(Table1[[#This Row],[Date]],"dddd")</f>
        <v>Monday</v>
      </c>
      <c r="K41" s="2" t="str">
        <f>TEXT(Table1[[#This Row],[Date]],"mmmm")</f>
        <v>June</v>
      </c>
      <c r="L41" s="3" t="str">
        <f>TEXT(Table1[[#This Row],[Date]],"yyyy")</f>
        <v>2012</v>
      </c>
    </row>
    <row r="42" spans="3:12" x14ac:dyDescent="0.3">
      <c r="C42" s="4">
        <v>41086</v>
      </c>
      <c r="D42" s="5">
        <v>11.0725002288818</v>
      </c>
      <c r="E42" s="5">
        <v>11.319499969482401</v>
      </c>
      <c r="F42" s="5">
        <v>11.0725002288818</v>
      </c>
      <c r="G42" s="5">
        <v>11.280500411987299</v>
      </c>
      <c r="H42" s="5">
        <v>11.280500411987299</v>
      </c>
      <c r="I42" s="5">
        <v>75082000</v>
      </c>
      <c r="J42" s="2" t="str">
        <f>TEXT(Table1[[#This Row],[Date]],"dddd")</f>
        <v>Tuesday</v>
      </c>
      <c r="K42" s="5" t="str">
        <f>TEXT(Table1[[#This Row],[Date]],"mmmm")</f>
        <v>June</v>
      </c>
      <c r="L42" s="3" t="str">
        <f>TEXT(Table1[[#This Row],[Date]],"yyyy")</f>
        <v>2012</v>
      </c>
    </row>
    <row r="43" spans="3:12" x14ac:dyDescent="0.3">
      <c r="C43" s="1">
        <v>41087</v>
      </c>
      <c r="D43" s="2">
        <v>11.250499725341699</v>
      </c>
      <c r="E43" s="2">
        <v>11.375</v>
      </c>
      <c r="F43" s="2">
        <v>11.164999961853001</v>
      </c>
      <c r="G43" s="2">
        <v>11.2810001373291</v>
      </c>
      <c r="H43" s="2">
        <v>11.2810001373291</v>
      </c>
      <c r="I43" s="2">
        <v>55984000</v>
      </c>
      <c r="J43" s="2" t="str">
        <f>TEXT(Table1[[#This Row],[Date]],"dddd")</f>
        <v>Wednesday</v>
      </c>
      <c r="K43" s="2" t="str">
        <f>TEXT(Table1[[#This Row],[Date]],"mmmm")</f>
        <v>June</v>
      </c>
      <c r="L43" s="3" t="str">
        <f>TEXT(Table1[[#This Row],[Date]],"yyyy")</f>
        <v>2012</v>
      </c>
    </row>
    <row r="44" spans="3:12" x14ac:dyDescent="0.3">
      <c r="C44" s="4">
        <v>41088</v>
      </c>
      <c r="D44" s="5">
        <v>11.1960000991821</v>
      </c>
      <c r="E44" s="5">
        <v>11.230999946594199</v>
      </c>
      <c r="F44" s="5">
        <v>10.9375</v>
      </c>
      <c r="G44" s="5">
        <v>11.0655002593994</v>
      </c>
      <c r="H44" s="5">
        <v>11.0655002593994</v>
      </c>
      <c r="I44" s="5">
        <v>59896000</v>
      </c>
      <c r="J44" s="2" t="str">
        <f>TEXT(Table1[[#This Row],[Date]],"dddd")</f>
        <v>Thursday</v>
      </c>
      <c r="K44" s="5" t="str">
        <f>TEXT(Table1[[#This Row],[Date]],"mmmm")</f>
        <v>June</v>
      </c>
      <c r="L44" s="3" t="str">
        <f>TEXT(Table1[[#This Row],[Date]],"yyyy")</f>
        <v>2012</v>
      </c>
    </row>
    <row r="45" spans="3:12" x14ac:dyDescent="0.3">
      <c r="C45" s="1">
        <v>41089</v>
      </c>
      <c r="D45" s="2">
        <v>11.2349996566772</v>
      </c>
      <c r="E45" s="2">
        <v>11.4174995422363</v>
      </c>
      <c r="F45" s="2">
        <v>11.1855001449584</v>
      </c>
      <c r="G45" s="2">
        <v>11.4174995422363</v>
      </c>
      <c r="H45" s="2">
        <v>11.4174995422363</v>
      </c>
      <c r="I45" s="2">
        <v>72288000</v>
      </c>
      <c r="J45" s="2" t="str">
        <f>TEXT(Table1[[#This Row],[Date]],"dddd")</f>
        <v>Friday</v>
      </c>
      <c r="K45" s="2" t="str">
        <f>TEXT(Table1[[#This Row],[Date]],"mmmm")</f>
        <v>June</v>
      </c>
      <c r="L45" s="3" t="str">
        <f>TEXT(Table1[[#This Row],[Date]],"yyyy")</f>
        <v>2012</v>
      </c>
    </row>
    <row r="46" spans="3:12" x14ac:dyDescent="0.3">
      <c r="C46" s="4">
        <v>41092</v>
      </c>
      <c r="D46" s="5">
        <v>11.4650001525878</v>
      </c>
      <c r="E46" s="5">
        <v>11.4670000076293</v>
      </c>
      <c r="F46" s="5">
        <v>11.3170003890991</v>
      </c>
      <c r="G46" s="5">
        <v>11.465999603271401</v>
      </c>
      <c r="H46" s="5">
        <v>11.465999603271401</v>
      </c>
      <c r="I46" s="5">
        <v>46614000</v>
      </c>
      <c r="J46" s="2" t="str">
        <f>TEXT(Table1[[#This Row],[Date]],"dddd")</f>
        <v>Monday</v>
      </c>
      <c r="K46" s="5" t="str">
        <f>TEXT(Table1[[#This Row],[Date]],"mmmm")</f>
        <v>July</v>
      </c>
      <c r="L46" s="3" t="str">
        <f>TEXT(Table1[[#This Row],[Date]],"yyyy")</f>
        <v>2012</v>
      </c>
    </row>
    <row r="47" spans="3:12" x14ac:dyDescent="0.3">
      <c r="C47" s="1">
        <v>41093</v>
      </c>
      <c r="D47" s="2">
        <v>11.4569997787475</v>
      </c>
      <c r="E47" s="2">
        <v>11.476499557495099</v>
      </c>
      <c r="F47" s="2">
        <v>11.3795003890991</v>
      </c>
      <c r="G47" s="2">
        <v>11.476499557495099</v>
      </c>
      <c r="H47" s="2">
        <v>11.476499557495099</v>
      </c>
      <c r="I47" s="2">
        <v>26634000</v>
      </c>
      <c r="J47" s="2" t="str">
        <f>TEXT(Table1[[#This Row],[Date]],"dddd")</f>
        <v>Tuesday</v>
      </c>
      <c r="K47" s="2" t="str">
        <f>TEXT(Table1[[#This Row],[Date]],"mmmm")</f>
        <v>July</v>
      </c>
      <c r="L47" s="3" t="str">
        <f>TEXT(Table1[[#This Row],[Date]],"yyyy")</f>
        <v>2012</v>
      </c>
    </row>
    <row r="48" spans="3:12" x14ac:dyDescent="0.3">
      <c r="C48" s="4">
        <v>41095</v>
      </c>
      <c r="D48" s="5">
        <v>11.4309997558593</v>
      </c>
      <c r="E48" s="5">
        <v>11.524999618530201</v>
      </c>
      <c r="F48" s="5">
        <v>11.326499938964799</v>
      </c>
      <c r="G48" s="5">
        <v>11.352999687194799</v>
      </c>
      <c r="H48" s="5">
        <v>11.352999687194799</v>
      </c>
      <c r="I48" s="5">
        <v>53646000</v>
      </c>
      <c r="J48" s="2" t="str">
        <f>TEXT(Table1[[#This Row],[Date]],"dddd")</f>
        <v>Thursday</v>
      </c>
      <c r="K48" s="5" t="str">
        <f>TEXT(Table1[[#This Row],[Date]],"mmmm")</f>
        <v>July</v>
      </c>
      <c r="L48" s="3" t="str">
        <f>TEXT(Table1[[#This Row],[Date]],"yyyy")</f>
        <v>2012</v>
      </c>
    </row>
    <row r="49" spans="3:12" x14ac:dyDescent="0.3">
      <c r="C49" s="1">
        <v>41096</v>
      </c>
      <c r="D49" s="2">
        <v>11.3175001144409</v>
      </c>
      <c r="E49" s="2">
        <v>11.444999694824199</v>
      </c>
      <c r="F49" s="2">
        <v>11.208999633789</v>
      </c>
      <c r="G49" s="2">
        <v>11.252499580383301</v>
      </c>
      <c r="H49" s="2">
        <v>11.252499580383301</v>
      </c>
      <c r="I49" s="2">
        <v>64064000</v>
      </c>
      <c r="J49" s="2" t="str">
        <f>TEXT(Table1[[#This Row],[Date]],"dddd")</f>
        <v>Friday</v>
      </c>
      <c r="K49" s="2" t="str">
        <f>TEXT(Table1[[#This Row],[Date]],"mmmm")</f>
        <v>July</v>
      </c>
      <c r="L49" s="3" t="str">
        <f>TEXT(Table1[[#This Row],[Date]],"yyyy")</f>
        <v>2012</v>
      </c>
    </row>
    <row r="50" spans="3:12" x14ac:dyDescent="0.3">
      <c r="C50" s="4">
        <v>41099</v>
      </c>
      <c r="D50" s="5">
        <v>11.25</v>
      </c>
      <c r="E50" s="5">
        <v>11.300000190734799</v>
      </c>
      <c r="F50" s="5">
        <v>11.1724996566772</v>
      </c>
      <c r="G50" s="5">
        <v>11.252499580383301</v>
      </c>
      <c r="H50" s="5">
        <v>11.252499580383301</v>
      </c>
      <c r="I50" s="5">
        <v>38440000</v>
      </c>
      <c r="J50" s="2" t="str">
        <f>TEXT(Table1[[#This Row],[Date]],"dddd")</f>
        <v>Monday</v>
      </c>
      <c r="K50" s="5" t="str">
        <f>TEXT(Table1[[#This Row],[Date]],"mmmm")</f>
        <v>July</v>
      </c>
      <c r="L50" s="3" t="str">
        <f>TEXT(Table1[[#This Row],[Date]],"yyyy")</f>
        <v>2012</v>
      </c>
    </row>
    <row r="51" spans="3:12" x14ac:dyDescent="0.3">
      <c r="C51" s="1">
        <v>41100</v>
      </c>
      <c r="D51" s="2">
        <v>11.3125</v>
      </c>
      <c r="E51" s="2">
        <v>11.3570003509521</v>
      </c>
      <c r="F51" s="2">
        <v>10.913999557495099</v>
      </c>
      <c r="G51" s="2">
        <v>10.9750003814697</v>
      </c>
      <c r="H51" s="2">
        <v>10.9750003814697</v>
      </c>
      <c r="I51" s="2">
        <v>59642000</v>
      </c>
      <c r="J51" s="2" t="str">
        <f>TEXT(Table1[[#This Row],[Date]],"dddd")</f>
        <v>Tuesday</v>
      </c>
      <c r="K51" s="2" t="str">
        <f>TEXT(Table1[[#This Row],[Date]],"mmmm")</f>
        <v>July</v>
      </c>
      <c r="L51" s="3" t="str">
        <f>TEXT(Table1[[#This Row],[Date]],"yyyy")</f>
        <v>2012</v>
      </c>
    </row>
    <row r="52" spans="3:12" x14ac:dyDescent="0.3">
      <c r="C52" s="4">
        <v>41101</v>
      </c>
      <c r="D52" s="5">
        <v>10.9475002288818</v>
      </c>
      <c r="E52" s="5">
        <v>11.0869998931884</v>
      </c>
      <c r="F52" s="5">
        <v>10.767000198364199</v>
      </c>
      <c r="G52" s="5">
        <v>10.918499946594199</v>
      </c>
      <c r="H52" s="5">
        <v>10.918499946594199</v>
      </c>
      <c r="I52" s="5">
        <v>54694000</v>
      </c>
      <c r="J52" s="2" t="str">
        <f>TEXT(Table1[[#This Row],[Date]],"dddd")</f>
        <v>Wednesday</v>
      </c>
      <c r="K52" s="5" t="str">
        <f>TEXT(Table1[[#This Row],[Date]],"mmmm")</f>
        <v>July</v>
      </c>
      <c r="L52" s="3" t="str">
        <f>TEXT(Table1[[#This Row],[Date]],"yyyy")</f>
        <v>2012</v>
      </c>
    </row>
    <row r="53" spans="3:12" x14ac:dyDescent="0.3">
      <c r="C53" s="1">
        <v>41102</v>
      </c>
      <c r="D53" s="2">
        <v>10.8304996490478</v>
      </c>
      <c r="E53" s="2">
        <v>10.8649997711181</v>
      </c>
      <c r="F53" s="2">
        <v>10.630499839782701</v>
      </c>
      <c r="G53" s="2">
        <v>10.7679996490478</v>
      </c>
      <c r="H53" s="2">
        <v>10.7679996490478</v>
      </c>
      <c r="I53" s="2">
        <v>52324000</v>
      </c>
      <c r="J53" s="2" t="str">
        <f>TEXT(Table1[[#This Row],[Date]],"dddd")</f>
        <v>Thursday</v>
      </c>
      <c r="K53" s="2" t="str">
        <f>TEXT(Table1[[#This Row],[Date]],"mmmm")</f>
        <v>July</v>
      </c>
      <c r="L53" s="3" t="str">
        <f>TEXT(Table1[[#This Row],[Date]],"yyyy")</f>
        <v>2012</v>
      </c>
    </row>
    <row r="54" spans="3:12" x14ac:dyDescent="0.3">
      <c r="C54" s="4">
        <v>41103</v>
      </c>
      <c r="D54" s="5">
        <v>10.781499862670801</v>
      </c>
      <c r="E54" s="5">
        <v>10.9654998779296</v>
      </c>
      <c r="F54" s="5">
        <v>10.6940002441406</v>
      </c>
      <c r="G54" s="5">
        <v>10.9195003509521</v>
      </c>
      <c r="H54" s="5">
        <v>10.9195003509521</v>
      </c>
      <c r="I54" s="5">
        <v>44438000</v>
      </c>
      <c r="J54" s="2" t="str">
        <f>TEXT(Table1[[#This Row],[Date]],"dddd")</f>
        <v>Friday</v>
      </c>
      <c r="K54" s="5" t="str">
        <f>TEXT(Table1[[#This Row],[Date]],"mmmm")</f>
        <v>July</v>
      </c>
      <c r="L54" s="3" t="str">
        <f>TEXT(Table1[[#This Row],[Date]],"yyyy")</f>
        <v>2012</v>
      </c>
    </row>
    <row r="55" spans="3:12" x14ac:dyDescent="0.3">
      <c r="C55" s="1">
        <v>41106</v>
      </c>
      <c r="D55" s="2">
        <v>10.829999923706</v>
      </c>
      <c r="E55" s="2">
        <v>10.915499687194799</v>
      </c>
      <c r="F55" s="2">
        <v>10.722999572753899</v>
      </c>
      <c r="G55" s="2">
        <v>10.8004999160766</v>
      </c>
      <c r="H55" s="2">
        <v>10.8004999160766</v>
      </c>
      <c r="I55" s="2">
        <v>40084000</v>
      </c>
      <c r="J55" s="2" t="str">
        <f>TEXT(Table1[[#This Row],[Date]],"dddd")</f>
        <v>Monday</v>
      </c>
      <c r="K55" s="2" t="str">
        <f>TEXT(Table1[[#This Row],[Date]],"mmmm")</f>
        <v>July</v>
      </c>
      <c r="L55" s="3" t="str">
        <f>TEXT(Table1[[#This Row],[Date]],"yyyy")</f>
        <v>2012</v>
      </c>
    </row>
    <row r="56" spans="3:12" x14ac:dyDescent="0.3">
      <c r="C56" s="4">
        <v>41107</v>
      </c>
      <c r="D56" s="5">
        <v>10.872500419616699</v>
      </c>
      <c r="E56" s="5">
        <v>10.897000312805099</v>
      </c>
      <c r="F56" s="5">
        <v>10.697999954223601</v>
      </c>
      <c r="G56" s="5">
        <v>10.8465003967285</v>
      </c>
      <c r="H56" s="5">
        <v>10.8465003967285</v>
      </c>
      <c r="I56" s="5">
        <v>39740000</v>
      </c>
      <c r="J56" s="2" t="str">
        <f>TEXT(Table1[[#This Row],[Date]],"dddd")</f>
        <v>Tuesday</v>
      </c>
      <c r="K56" s="5" t="str">
        <f>TEXT(Table1[[#This Row],[Date]],"mmmm")</f>
        <v>July</v>
      </c>
      <c r="L56" s="3" t="str">
        <f>TEXT(Table1[[#This Row],[Date]],"yyyy")</f>
        <v>2012</v>
      </c>
    </row>
    <row r="57" spans="3:12" x14ac:dyDescent="0.3">
      <c r="C57" s="1">
        <v>41108</v>
      </c>
      <c r="D57" s="2">
        <v>10.807499885559</v>
      </c>
      <c r="E57" s="2">
        <v>10.9335002899169</v>
      </c>
      <c r="F57" s="2">
        <v>10.785499572753899</v>
      </c>
      <c r="G57" s="2">
        <v>10.873499870300201</v>
      </c>
      <c r="H57" s="2">
        <v>10.873499870300201</v>
      </c>
      <c r="I57" s="2">
        <v>41860000</v>
      </c>
      <c r="J57" s="2" t="str">
        <f>TEXT(Table1[[#This Row],[Date]],"dddd")</f>
        <v>Wednesday</v>
      </c>
      <c r="K57" s="2" t="str">
        <f>TEXT(Table1[[#This Row],[Date]],"mmmm")</f>
        <v>July</v>
      </c>
      <c r="L57" s="3" t="str">
        <f>TEXT(Table1[[#This Row],[Date]],"yyyy")</f>
        <v>2012</v>
      </c>
    </row>
    <row r="58" spans="3:12" x14ac:dyDescent="0.3">
      <c r="C58" s="4">
        <v>41109</v>
      </c>
      <c r="D58" s="5">
        <v>11.0364999771118</v>
      </c>
      <c r="E58" s="5">
        <v>11.375</v>
      </c>
      <c r="F58" s="5">
        <v>11.0345001220703</v>
      </c>
      <c r="G58" s="5">
        <v>11.3085002899169</v>
      </c>
      <c r="H58" s="5">
        <v>11.3085002899169</v>
      </c>
      <c r="I58" s="5">
        <v>108988000</v>
      </c>
      <c r="J58" s="2" t="str">
        <f>TEXT(Table1[[#This Row],[Date]],"dddd")</f>
        <v>Thursday</v>
      </c>
      <c r="K58" s="5" t="str">
        <f>TEXT(Table1[[#This Row],[Date]],"mmmm")</f>
        <v>July</v>
      </c>
      <c r="L58" s="3" t="str">
        <f>TEXT(Table1[[#This Row],[Date]],"yyyy")</f>
        <v>2012</v>
      </c>
    </row>
    <row r="59" spans="3:12" x14ac:dyDescent="0.3">
      <c r="C59" s="1">
        <v>41110</v>
      </c>
      <c r="D59" s="2">
        <v>11.2679996490478</v>
      </c>
      <c r="E59" s="2">
        <v>11.469499588012599</v>
      </c>
      <c r="F59" s="2">
        <v>11.2644996643066</v>
      </c>
      <c r="G59" s="2">
        <v>11.4145002365112</v>
      </c>
      <c r="H59" s="2">
        <v>11.4145002365112</v>
      </c>
      <c r="I59" s="2">
        <v>83400000</v>
      </c>
      <c r="J59" s="2" t="str">
        <f>TEXT(Table1[[#This Row],[Date]],"dddd")</f>
        <v>Friday</v>
      </c>
      <c r="K59" s="2" t="str">
        <f>TEXT(Table1[[#This Row],[Date]],"mmmm")</f>
        <v>July</v>
      </c>
      <c r="L59" s="3" t="str">
        <f>TEXT(Table1[[#This Row],[Date]],"yyyy")</f>
        <v>2012</v>
      </c>
    </row>
    <row r="60" spans="3:12" x14ac:dyDescent="0.3">
      <c r="C60" s="4">
        <v>41113</v>
      </c>
      <c r="D60" s="5">
        <v>11.236000061035099</v>
      </c>
      <c r="E60" s="5">
        <v>11.329000473022401</v>
      </c>
      <c r="F60" s="5">
        <v>11.0769996643066</v>
      </c>
      <c r="G60" s="5">
        <v>11.3004999160766</v>
      </c>
      <c r="H60" s="5">
        <v>11.3004999160766</v>
      </c>
      <c r="I60" s="5">
        <v>110302000</v>
      </c>
      <c r="J60" s="2" t="str">
        <f>TEXT(Table1[[#This Row],[Date]],"dddd")</f>
        <v>Monday</v>
      </c>
      <c r="K60" s="5" t="str">
        <f>TEXT(Table1[[#This Row],[Date]],"mmmm")</f>
        <v>July</v>
      </c>
      <c r="L60" s="3" t="str">
        <f>TEXT(Table1[[#This Row],[Date]],"yyyy")</f>
        <v>2012</v>
      </c>
    </row>
    <row r="61" spans="3:12" x14ac:dyDescent="0.3">
      <c r="C61" s="1">
        <v>41114</v>
      </c>
      <c r="D61" s="2">
        <v>11.313500404357899</v>
      </c>
      <c r="E61" s="2">
        <v>11.3304996490478</v>
      </c>
      <c r="F61" s="2">
        <v>11.061499595641999</v>
      </c>
      <c r="G61" s="2">
        <v>11.152000427246</v>
      </c>
      <c r="H61" s="2">
        <v>11.152000427246</v>
      </c>
      <c r="I61" s="2">
        <v>100174000</v>
      </c>
      <c r="J61" s="2" t="str">
        <f>TEXT(Table1[[#This Row],[Date]],"dddd")</f>
        <v>Tuesday</v>
      </c>
      <c r="K61" s="2" t="str">
        <f>TEXT(Table1[[#This Row],[Date]],"mmmm")</f>
        <v>July</v>
      </c>
      <c r="L61" s="3" t="str">
        <f>TEXT(Table1[[#This Row],[Date]],"yyyy")</f>
        <v>2012</v>
      </c>
    </row>
    <row r="62" spans="3:12" x14ac:dyDescent="0.3">
      <c r="C62" s="4">
        <v>41115</v>
      </c>
      <c r="D62" s="5">
        <v>11.1000003814697</v>
      </c>
      <c r="E62" s="5">
        <v>11.125</v>
      </c>
      <c r="F62" s="5">
        <v>10.7954998016357</v>
      </c>
      <c r="G62" s="5">
        <v>10.852499961853001</v>
      </c>
      <c r="H62" s="5">
        <v>10.852499961853001</v>
      </c>
      <c r="I62" s="5">
        <v>72934000</v>
      </c>
      <c r="J62" s="2" t="str">
        <f>TEXT(Table1[[#This Row],[Date]],"dddd")</f>
        <v>Wednesday</v>
      </c>
      <c r="K62" s="5" t="str">
        <f>TEXT(Table1[[#This Row],[Date]],"mmmm")</f>
        <v>July</v>
      </c>
      <c r="L62" s="3" t="str">
        <f>TEXT(Table1[[#This Row],[Date]],"yyyy")</f>
        <v>2012</v>
      </c>
    </row>
    <row r="63" spans="3:12" x14ac:dyDescent="0.3">
      <c r="C63" s="1">
        <v>41116</v>
      </c>
      <c r="D63" s="2">
        <v>11</v>
      </c>
      <c r="E63" s="2">
        <v>11.0725002288818</v>
      </c>
      <c r="F63" s="2">
        <v>10.747500419616699</v>
      </c>
      <c r="G63" s="2">
        <v>11.000499725341699</v>
      </c>
      <c r="H63" s="2">
        <v>11.000499725341699</v>
      </c>
      <c r="I63" s="2">
        <v>138748000</v>
      </c>
      <c r="J63" s="2" t="str">
        <f>TEXT(Table1[[#This Row],[Date]],"dddd")</f>
        <v>Thursday</v>
      </c>
      <c r="K63" s="2" t="str">
        <f>TEXT(Table1[[#This Row],[Date]],"mmmm")</f>
        <v>July</v>
      </c>
      <c r="L63" s="3" t="str">
        <f>TEXT(Table1[[#This Row],[Date]],"yyyy")</f>
        <v>2012</v>
      </c>
    </row>
    <row r="64" spans="3:12" x14ac:dyDescent="0.3">
      <c r="C64" s="4">
        <v>41117</v>
      </c>
      <c r="D64" s="5">
        <v>11.262499809265099</v>
      </c>
      <c r="E64" s="5">
        <v>11.916999816894499</v>
      </c>
      <c r="F64" s="5">
        <v>11.2250003814697</v>
      </c>
      <c r="G64" s="5">
        <v>11.866000175476</v>
      </c>
      <c r="H64" s="5">
        <v>11.866000175476</v>
      </c>
      <c r="I64" s="5">
        <v>226278000</v>
      </c>
      <c r="J64" s="2" t="str">
        <f>TEXT(Table1[[#This Row],[Date]],"dddd")</f>
        <v>Friday</v>
      </c>
      <c r="K64" s="5" t="str">
        <f>TEXT(Table1[[#This Row],[Date]],"mmmm")</f>
        <v>July</v>
      </c>
      <c r="L64" s="3" t="str">
        <f>TEXT(Table1[[#This Row],[Date]],"yyyy")</f>
        <v>2012</v>
      </c>
    </row>
    <row r="65" spans="3:12" x14ac:dyDescent="0.3">
      <c r="C65" s="1">
        <v>41120</v>
      </c>
      <c r="D65" s="2">
        <v>11.8500003814697</v>
      </c>
      <c r="E65" s="2">
        <v>12.036999702453601</v>
      </c>
      <c r="F65" s="2">
        <v>11.7034997940063</v>
      </c>
      <c r="G65" s="2">
        <v>11.8044996261596</v>
      </c>
      <c r="H65" s="2">
        <v>11.8044996261596</v>
      </c>
      <c r="I65" s="2">
        <v>74728000</v>
      </c>
      <c r="J65" s="2" t="str">
        <f>TEXT(Table1[[#This Row],[Date]],"dddd")</f>
        <v>Monday</v>
      </c>
      <c r="K65" s="2" t="str">
        <f>TEXT(Table1[[#This Row],[Date]],"mmmm")</f>
        <v>July</v>
      </c>
      <c r="L65" s="3" t="str">
        <f>TEXT(Table1[[#This Row],[Date]],"yyyy")</f>
        <v>2012</v>
      </c>
    </row>
    <row r="66" spans="3:12" x14ac:dyDescent="0.3">
      <c r="C66" s="4">
        <v>41121</v>
      </c>
      <c r="D66" s="5">
        <v>11.7550001144409</v>
      </c>
      <c r="E66" s="5">
        <v>11.814999580383301</v>
      </c>
      <c r="F66" s="5">
        <v>11.5804996490478</v>
      </c>
      <c r="G66" s="5">
        <v>11.664999961853001</v>
      </c>
      <c r="H66" s="5">
        <v>11.664999961853001</v>
      </c>
      <c r="I66" s="5">
        <v>69072000</v>
      </c>
      <c r="J66" s="2" t="str">
        <f>TEXT(Table1[[#This Row],[Date]],"dddd")</f>
        <v>Tuesday</v>
      </c>
      <c r="K66" s="5" t="str">
        <f>TEXT(Table1[[#This Row],[Date]],"mmmm")</f>
        <v>July</v>
      </c>
      <c r="L66" s="3" t="str">
        <f>TEXT(Table1[[#This Row],[Date]],"yyyy")</f>
        <v>2012</v>
      </c>
    </row>
    <row r="67" spans="3:12" x14ac:dyDescent="0.3">
      <c r="C67" s="1">
        <v>41122</v>
      </c>
      <c r="D67" s="2">
        <v>11.7069997787475</v>
      </c>
      <c r="E67" s="2">
        <v>11.718999862670801</v>
      </c>
      <c r="F67" s="2">
        <v>11.5349998474121</v>
      </c>
      <c r="G67" s="2">
        <v>11.604499816894499</v>
      </c>
      <c r="H67" s="2">
        <v>11.604499816894499</v>
      </c>
      <c r="I67" s="2">
        <v>50876000</v>
      </c>
      <c r="J67" s="2" t="str">
        <f>TEXT(Table1[[#This Row],[Date]],"dddd")</f>
        <v>Wednesday</v>
      </c>
      <c r="K67" s="2" t="str">
        <f>TEXT(Table1[[#This Row],[Date]],"mmmm")</f>
        <v>August</v>
      </c>
      <c r="L67" s="3" t="str">
        <f>TEXT(Table1[[#This Row],[Date]],"yyyy")</f>
        <v>2012</v>
      </c>
    </row>
    <row r="68" spans="3:12" x14ac:dyDescent="0.3">
      <c r="C68" s="4">
        <v>41123</v>
      </c>
      <c r="D68" s="5">
        <v>11.5279998779296</v>
      </c>
      <c r="E68" s="5">
        <v>11.7170000076293</v>
      </c>
      <c r="F68" s="5">
        <v>11.432999610900801</v>
      </c>
      <c r="G68" s="5">
        <v>11.540499687194799</v>
      </c>
      <c r="H68" s="5">
        <v>11.540499687194799</v>
      </c>
      <c r="I68" s="5">
        <v>60962000</v>
      </c>
      <c r="J68" s="2" t="str">
        <f>TEXT(Table1[[#This Row],[Date]],"dddd")</f>
        <v>Thursday</v>
      </c>
      <c r="K68" s="5" t="str">
        <f>TEXT(Table1[[#This Row],[Date]],"mmmm")</f>
        <v>August</v>
      </c>
      <c r="L68" s="3" t="str">
        <f>TEXT(Table1[[#This Row],[Date]],"yyyy")</f>
        <v>2012</v>
      </c>
    </row>
    <row r="69" spans="3:12" x14ac:dyDescent="0.3">
      <c r="C69" s="1">
        <v>41124</v>
      </c>
      <c r="D69" s="2">
        <v>11.701499938964799</v>
      </c>
      <c r="E69" s="2">
        <v>11.824500083923301</v>
      </c>
      <c r="F69" s="2">
        <v>11.651499748229901</v>
      </c>
      <c r="G69" s="2">
        <v>11.748499870300201</v>
      </c>
      <c r="H69" s="2">
        <v>11.748499870300201</v>
      </c>
      <c r="I69" s="2">
        <v>56506000</v>
      </c>
      <c r="J69" s="2" t="str">
        <f>TEXT(Table1[[#This Row],[Date]],"dddd")</f>
        <v>Friday</v>
      </c>
      <c r="K69" s="2" t="str">
        <f>TEXT(Table1[[#This Row],[Date]],"mmmm")</f>
        <v>August</v>
      </c>
      <c r="L69" s="3" t="str">
        <f>TEXT(Table1[[#This Row],[Date]],"yyyy")</f>
        <v>2012</v>
      </c>
    </row>
    <row r="70" spans="3:12" x14ac:dyDescent="0.3">
      <c r="C70" s="4">
        <v>41127</v>
      </c>
      <c r="D70" s="5">
        <v>11.7779998779296</v>
      </c>
      <c r="E70" s="5">
        <v>11.786999702453601</v>
      </c>
      <c r="F70" s="5">
        <v>11.6905002593994</v>
      </c>
      <c r="G70" s="5">
        <v>11.699500083923301</v>
      </c>
      <c r="H70" s="5">
        <v>11.699500083923301</v>
      </c>
      <c r="I70" s="5">
        <v>36874000</v>
      </c>
      <c r="J70" s="2" t="str">
        <f>TEXT(Table1[[#This Row],[Date]],"dddd")</f>
        <v>Monday</v>
      </c>
      <c r="K70" s="5" t="str">
        <f>TEXT(Table1[[#This Row],[Date]],"mmmm")</f>
        <v>August</v>
      </c>
      <c r="L70" s="3" t="str">
        <f>TEXT(Table1[[#This Row],[Date]],"yyyy")</f>
        <v>2012</v>
      </c>
    </row>
    <row r="71" spans="3:12" x14ac:dyDescent="0.3">
      <c r="C71" s="1">
        <v>41128</v>
      </c>
      <c r="D71" s="2">
        <v>11.7065000534057</v>
      </c>
      <c r="E71" s="2">
        <v>11.899999618530201</v>
      </c>
      <c r="F71" s="2">
        <v>11.6625003814697</v>
      </c>
      <c r="G71" s="2">
        <v>11.828000068664499</v>
      </c>
      <c r="H71" s="2">
        <v>11.828000068664499</v>
      </c>
      <c r="I71" s="2">
        <v>41166000</v>
      </c>
      <c r="J71" s="2" t="str">
        <f>TEXT(Table1[[#This Row],[Date]],"dddd")</f>
        <v>Tuesday</v>
      </c>
      <c r="K71" s="2" t="str">
        <f>TEXT(Table1[[#This Row],[Date]],"mmmm")</f>
        <v>August</v>
      </c>
      <c r="L71" s="3" t="str">
        <f>TEXT(Table1[[#This Row],[Date]],"yyyy")</f>
        <v>2012</v>
      </c>
    </row>
    <row r="72" spans="3:12" x14ac:dyDescent="0.3">
      <c r="C72" s="4">
        <v>41129</v>
      </c>
      <c r="D72" s="5">
        <v>11.7644996643066</v>
      </c>
      <c r="E72" s="5">
        <v>11.8225002288818</v>
      </c>
      <c r="F72" s="5">
        <v>11.6794996261596</v>
      </c>
      <c r="G72" s="5">
        <v>11.718999862670801</v>
      </c>
      <c r="H72" s="5">
        <v>11.718999862670801</v>
      </c>
      <c r="I72" s="5">
        <v>30686000</v>
      </c>
      <c r="J72" s="2" t="str">
        <f>TEXT(Table1[[#This Row],[Date]],"dddd")</f>
        <v>Wednesday</v>
      </c>
      <c r="K72" s="5" t="str">
        <f>TEXT(Table1[[#This Row],[Date]],"mmmm")</f>
        <v>August</v>
      </c>
      <c r="L72" s="3" t="str">
        <f>TEXT(Table1[[#This Row],[Date]],"yyyy")</f>
        <v>2012</v>
      </c>
    </row>
    <row r="73" spans="3:12" x14ac:dyDescent="0.3">
      <c r="C73" s="1">
        <v>41130</v>
      </c>
      <c r="D73" s="2">
        <v>11.696499824523899</v>
      </c>
      <c r="E73" s="2">
        <v>11.799500465393001</v>
      </c>
      <c r="F73" s="2">
        <v>11.675000190734799</v>
      </c>
      <c r="G73" s="2">
        <v>11.703000068664499</v>
      </c>
      <c r="H73" s="2">
        <v>11.703000068664499</v>
      </c>
      <c r="I73" s="2">
        <v>30962000</v>
      </c>
      <c r="J73" s="2" t="str">
        <f>TEXT(Table1[[#This Row],[Date]],"dddd")</f>
        <v>Thursday</v>
      </c>
      <c r="K73" s="2" t="str">
        <f>TEXT(Table1[[#This Row],[Date]],"mmmm")</f>
        <v>August</v>
      </c>
      <c r="L73" s="3" t="str">
        <f>TEXT(Table1[[#This Row],[Date]],"yyyy")</f>
        <v>2012</v>
      </c>
    </row>
    <row r="74" spans="3:12" x14ac:dyDescent="0.3">
      <c r="C74" s="4">
        <v>41131</v>
      </c>
      <c r="D74" s="5">
        <v>11.6540002822875</v>
      </c>
      <c r="E74" s="5">
        <v>11.7425003051757</v>
      </c>
      <c r="F74" s="5">
        <v>11.571499824523899</v>
      </c>
      <c r="G74" s="5">
        <v>11.637499809265099</v>
      </c>
      <c r="H74" s="5">
        <v>11.637499809265099</v>
      </c>
      <c r="I74" s="5">
        <v>37050000</v>
      </c>
      <c r="J74" s="2" t="str">
        <f>TEXT(Table1[[#This Row],[Date]],"dddd")</f>
        <v>Friday</v>
      </c>
      <c r="K74" s="5" t="str">
        <f>TEXT(Table1[[#This Row],[Date]],"mmmm")</f>
        <v>August</v>
      </c>
      <c r="L74" s="3" t="str">
        <f>TEXT(Table1[[#This Row],[Date]],"yyyy")</f>
        <v>2012</v>
      </c>
    </row>
    <row r="75" spans="3:12" x14ac:dyDescent="0.3">
      <c r="C75" s="1">
        <v>41134</v>
      </c>
      <c r="D75" s="2">
        <v>11.6114997863769</v>
      </c>
      <c r="E75" s="2">
        <v>11.7185001373291</v>
      </c>
      <c r="F75" s="2">
        <v>11.550000190734799</v>
      </c>
      <c r="G75" s="2">
        <v>11.621999740600501</v>
      </c>
      <c r="H75" s="2">
        <v>11.621999740600501</v>
      </c>
      <c r="I75" s="2">
        <v>39946000</v>
      </c>
      <c r="J75" s="2" t="str">
        <f>TEXT(Table1[[#This Row],[Date]],"dddd")</f>
        <v>Monday</v>
      </c>
      <c r="K75" s="2" t="str">
        <f>TEXT(Table1[[#This Row],[Date]],"mmmm")</f>
        <v>August</v>
      </c>
      <c r="L75" s="3" t="str">
        <f>TEXT(Table1[[#This Row],[Date]],"yyyy")</f>
        <v>2012</v>
      </c>
    </row>
    <row r="76" spans="3:12" x14ac:dyDescent="0.3">
      <c r="C76" s="4">
        <v>41135</v>
      </c>
      <c r="D76" s="5">
        <v>11.735500335693301</v>
      </c>
      <c r="E76" s="5">
        <v>11.836000442504799</v>
      </c>
      <c r="F76" s="5">
        <v>11.630999565124499</v>
      </c>
      <c r="G76" s="5">
        <v>11.6595001220703</v>
      </c>
      <c r="H76" s="5">
        <v>11.6595001220703</v>
      </c>
      <c r="I76" s="5">
        <v>55020000</v>
      </c>
      <c r="J76" s="2" t="str">
        <f>TEXT(Table1[[#This Row],[Date]],"dddd")</f>
        <v>Tuesday</v>
      </c>
      <c r="K76" s="5" t="str">
        <f>TEXT(Table1[[#This Row],[Date]],"mmmm")</f>
        <v>August</v>
      </c>
      <c r="L76" s="3" t="str">
        <f>TEXT(Table1[[#This Row],[Date]],"yyyy")</f>
        <v>2012</v>
      </c>
    </row>
    <row r="77" spans="3:12" x14ac:dyDescent="0.3">
      <c r="C77" s="1">
        <v>41136</v>
      </c>
      <c r="D77" s="2">
        <v>11.6129999160766</v>
      </c>
      <c r="E77" s="2">
        <v>11.906999588012599</v>
      </c>
      <c r="F77" s="2">
        <v>11.612500190734799</v>
      </c>
      <c r="G77" s="2">
        <v>11.8710002899169</v>
      </c>
      <c r="H77" s="2">
        <v>11.8710002899169</v>
      </c>
      <c r="I77" s="2">
        <v>65294000</v>
      </c>
      <c r="J77" s="2" t="str">
        <f>TEXT(Table1[[#This Row],[Date]],"dddd")</f>
        <v>Wednesday</v>
      </c>
      <c r="K77" s="2" t="str">
        <f>TEXT(Table1[[#This Row],[Date]],"mmmm")</f>
        <v>August</v>
      </c>
      <c r="L77" s="3" t="str">
        <f>TEXT(Table1[[#This Row],[Date]],"yyyy")</f>
        <v>2012</v>
      </c>
    </row>
    <row r="78" spans="3:12" x14ac:dyDescent="0.3">
      <c r="C78" s="4">
        <v>41137</v>
      </c>
      <c r="D78" s="5">
        <v>11.885999679565399</v>
      </c>
      <c r="E78" s="5">
        <v>12.1409997940063</v>
      </c>
      <c r="F78" s="5">
        <v>11.810000419616699</v>
      </c>
      <c r="G78" s="5">
        <v>12.077500343322701</v>
      </c>
      <c r="H78" s="5">
        <v>12.077500343322701</v>
      </c>
      <c r="I78" s="5">
        <v>86242000</v>
      </c>
      <c r="J78" s="2" t="str">
        <f>TEXT(Table1[[#This Row],[Date]],"dddd")</f>
        <v>Thursday</v>
      </c>
      <c r="K78" s="5" t="str">
        <f>TEXT(Table1[[#This Row],[Date]],"mmmm")</f>
        <v>August</v>
      </c>
      <c r="L78" s="3" t="str">
        <f>TEXT(Table1[[#This Row],[Date]],"yyyy")</f>
        <v>2012</v>
      </c>
    </row>
    <row r="79" spans="3:12" x14ac:dyDescent="0.3">
      <c r="C79" s="1">
        <v>41138</v>
      </c>
      <c r="D79" s="2">
        <v>12.029999732971101</v>
      </c>
      <c r="E79" s="2">
        <v>12.1674995422363</v>
      </c>
      <c r="F79" s="2">
        <v>12.023500442504799</v>
      </c>
      <c r="G79" s="2">
        <v>12.0585002899169</v>
      </c>
      <c r="H79" s="2">
        <v>12.0585002899169</v>
      </c>
      <c r="I79" s="2">
        <v>61716000</v>
      </c>
      <c r="J79" s="2" t="str">
        <f>TEXT(Table1[[#This Row],[Date]],"dddd")</f>
        <v>Friday</v>
      </c>
      <c r="K79" s="2" t="str">
        <f>TEXT(Table1[[#This Row],[Date]],"mmmm")</f>
        <v>August</v>
      </c>
      <c r="L79" s="3" t="str">
        <f>TEXT(Table1[[#This Row],[Date]],"yyyy")</f>
        <v>2012</v>
      </c>
    </row>
    <row r="80" spans="3:12" x14ac:dyDescent="0.3">
      <c r="C80" s="4">
        <v>41141</v>
      </c>
      <c r="D80" s="5">
        <v>12.068499565124499</v>
      </c>
      <c r="E80" s="5">
        <v>12.082500457763601</v>
      </c>
      <c r="F80" s="5">
        <v>11.9099998474121</v>
      </c>
      <c r="G80" s="5">
        <v>12.017499923706</v>
      </c>
      <c r="H80" s="5">
        <v>12.017499923706</v>
      </c>
      <c r="I80" s="5">
        <v>37798000</v>
      </c>
      <c r="J80" s="2" t="str">
        <f>TEXT(Table1[[#This Row],[Date]],"dddd")</f>
        <v>Monday</v>
      </c>
      <c r="K80" s="5" t="str">
        <f>TEXT(Table1[[#This Row],[Date]],"mmmm")</f>
        <v>August</v>
      </c>
      <c r="L80" s="3" t="str">
        <f>TEXT(Table1[[#This Row],[Date]],"yyyy")</f>
        <v>2012</v>
      </c>
    </row>
    <row r="81" spans="3:12" x14ac:dyDescent="0.3">
      <c r="C81" s="1">
        <v>41142</v>
      </c>
      <c r="D81" s="2">
        <v>12.043999671936</v>
      </c>
      <c r="E81" s="2">
        <v>12.1925001144409</v>
      </c>
      <c r="F81" s="2">
        <v>11.9274997711181</v>
      </c>
      <c r="G81" s="2">
        <v>11.9724998474121</v>
      </c>
      <c r="H81" s="2">
        <v>11.9724998474121</v>
      </c>
      <c r="I81" s="2">
        <v>51430000</v>
      </c>
      <c r="J81" s="2" t="str">
        <f>TEXT(Table1[[#This Row],[Date]],"dddd")</f>
        <v>Tuesday</v>
      </c>
      <c r="K81" s="2" t="str">
        <f>TEXT(Table1[[#This Row],[Date]],"mmmm")</f>
        <v>August</v>
      </c>
      <c r="L81" s="3" t="str">
        <f>TEXT(Table1[[#This Row],[Date]],"yyyy")</f>
        <v>2012</v>
      </c>
    </row>
    <row r="82" spans="3:12" x14ac:dyDescent="0.3">
      <c r="C82" s="4">
        <v>41143</v>
      </c>
      <c r="D82" s="5">
        <v>11.9700002670288</v>
      </c>
      <c r="E82" s="5">
        <v>12.244999885559</v>
      </c>
      <c r="F82" s="5">
        <v>11.939999580383301</v>
      </c>
      <c r="G82" s="5">
        <v>12.154999732971101</v>
      </c>
      <c r="H82" s="5">
        <v>12.154999732971101</v>
      </c>
      <c r="I82" s="5">
        <v>49474000</v>
      </c>
      <c r="J82" s="2" t="str">
        <f>TEXT(Table1[[#This Row],[Date]],"dddd")</f>
        <v>Wednesday</v>
      </c>
      <c r="K82" s="5" t="str">
        <f>TEXT(Table1[[#This Row],[Date]],"mmmm")</f>
        <v>August</v>
      </c>
      <c r="L82" s="3" t="str">
        <f>TEXT(Table1[[#This Row],[Date]],"yyyy")</f>
        <v>2012</v>
      </c>
    </row>
    <row r="83" spans="3:12" x14ac:dyDescent="0.3">
      <c r="C83" s="1">
        <v>41144</v>
      </c>
      <c r="D83" s="2">
        <v>12.1070003509521</v>
      </c>
      <c r="E83" s="2">
        <v>12.1739997863769</v>
      </c>
      <c r="F83" s="2">
        <v>11.951000213623001</v>
      </c>
      <c r="G83" s="2">
        <v>12.060000419616699</v>
      </c>
      <c r="H83" s="2">
        <v>12.060000419616699</v>
      </c>
      <c r="I83" s="2">
        <v>49078000</v>
      </c>
      <c r="J83" s="2" t="str">
        <f>TEXT(Table1[[#This Row],[Date]],"dddd")</f>
        <v>Thursday</v>
      </c>
      <c r="K83" s="2" t="str">
        <f>TEXT(Table1[[#This Row],[Date]],"mmmm")</f>
        <v>August</v>
      </c>
      <c r="L83" s="3" t="str">
        <f>TEXT(Table1[[#This Row],[Date]],"yyyy")</f>
        <v>2012</v>
      </c>
    </row>
    <row r="84" spans="3:12" x14ac:dyDescent="0.3">
      <c r="C84" s="4">
        <v>41145</v>
      </c>
      <c r="D84" s="5">
        <v>12.083999633789</v>
      </c>
      <c r="E84" s="5">
        <v>12.3435001373291</v>
      </c>
      <c r="F84" s="5">
        <v>12.067999839782701</v>
      </c>
      <c r="G84" s="5">
        <v>12.286999702453601</v>
      </c>
      <c r="H84" s="5">
        <v>12.286999702453601</v>
      </c>
      <c r="I84" s="5">
        <v>73976000</v>
      </c>
      <c r="J84" s="2" t="str">
        <f>TEXT(Table1[[#This Row],[Date]],"dddd")</f>
        <v>Friday</v>
      </c>
      <c r="K84" s="5" t="str">
        <f>TEXT(Table1[[#This Row],[Date]],"mmmm")</f>
        <v>August</v>
      </c>
      <c r="L84" s="3" t="str">
        <f>TEXT(Table1[[#This Row],[Date]],"yyyy")</f>
        <v>2012</v>
      </c>
    </row>
    <row r="85" spans="3:12" x14ac:dyDescent="0.3">
      <c r="C85" s="1">
        <v>41148</v>
      </c>
      <c r="D85" s="2">
        <v>12.2895002365112</v>
      </c>
      <c r="E85" s="2">
        <v>12.375</v>
      </c>
      <c r="F85" s="2">
        <v>12.1560001373291</v>
      </c>
      <c r="G85" s="2">
        <v>12.1960000991821</v>
      </c>
      <c r="H85" s="2">
        <v>12.1960000991821</v>
      </c>
      <c r="I85" s="2">
        <v>58594000</v>
      </c>
      <c r="J85" s="2" t="str">
        <f>TEXT(Table1[[#This Row],[Date]],"dddd")</f>
        <v>Monday</v>
      </c>
      <c r="K85" s="2" t="str">
        <f>TEXT(Table1[[#This Row],[Date]],"mmmm")</f>
        <v>August</v>
      </c>
      <c r="L85" s="3" t="str">
        <f>TEXT(Table1[[#This Row],[Date]],"yyyy")</f>
        <v>2012</v>
      </c>
    </row>
    <row r="86" spans="3:12" x14ac:dyDescent="0.3">
      <c r="C86" s="4">
        <v>41149</v>
      </c>
      <c r="D86" s="5">
        <v>12.198499679565399</v>
      </c>
      <c r="E86" s="5">
        <v>12.338999748229901</v>
      </c>
      <c r="F86" s="5">
        <v>12.149999618530201</v>
      </c>
      <c r="G86" s="5">
        <v>12.3055000305175</v>
      </c>
      <c r="H86" s="5">
        <v>12.3055000305175</v>
      </c>
      <c r="I86" s="5">
        <v>54846000</v>
      </c>
      <c r="J86" s="2" t="str">
        <f>TEXT(Table1[[#This Row],[Date]],"dddd")</f>
        <v>Tuesday</v>
      </c>
      <c r="K86" s="5" t="str">
        <f>TEXT(Table1[[#This Row],[Date]],"mmmm")</f>
        <v>August</v>
      </c>
      <c r="L86" s="3" t="str">
        <f>TEXT(Table1[[#This Row],[Date]],"yyyy")</f>
        <v>2012</v>
      </c>
    </row>
    <row r="87" spans="3:12" x14ac:dyDescent="0.3">
      <c r="C87" s="1">
        <v>41150</v>
      </c>
      <c r="D87" s="2">
        <v>12.338999748229901</v>
      </c>
      <c r="E87" s="2">
        <v>12.380499839782701</v>
      </c>
      <c r="F87" s="2">
        <v>12.229499816894499</v>
      </c>
      <c r="G87" s="2">
        <v>12.355999946594199</v>
      </c>
      <c r="H87" s="2">
        <v>12.355999946594199</v>
      </c>
      <c r="I87" s="2">
        <v>35452000</v>
      </c>
      <c r="J87" s="2" t="str">
        <f>TEXT(Table1[[#This Row],[Date]],"dddd")</f>
        <v>Wednesday</v>
      </c>
      <c r="K87" s="2" t="str">
        <f>TEXT(Table1[[#This Row],[Date]],"mmmm")</f>
        <v>August</v>
      </c>
      <c r="L87" s="3" t="str">
        <f>TEXT(Table1[[#This Row],[Date]],"yyyy")</f>
        <v>2012</v>
      </c>
    </row>
    <row r="88" spans="3:12" x14ac:dyDescent="0.3">
      <c r="C88" s="4">
        <v>41151</v>
      </c>
      <c r="D88" s="5">
        <v>12.349499702453601</v>
      </c>
      <c r="E88" s="5">
        <v>12.5</v>
      </c>
      <c r="F88" s="5">
        <v>12.262499809265099</v>
      </c>
      <c r="G88" s="5">
        <v>12.310999870300201</v>
      </c>
      <c r="H88" s="5">
        <v>12.310999870300201</v>
      </c>
      <c r="I88" s="5">
        <v>72950000</v>
      </c>
      <c r="J88" s="2" t="str">
        <f>TEXT(Table1[[#This Row],[Date]],"dddd")</f>
        <v>Thursday</v>
      </c>
      <c r="K88" s="5" t="str">
        <f>TEXT(Table1[[#This Row],[Date]],"mmmm")</f>
        <v>August</v>
      </c>
      <c r="L88" s="3" t="str">
        <f>TEXT(Table1[[#This Row],[Date]],"yyyy")</f>
        <v>2012</v>
      </c>
    </row>
    <row r="89" spans="3:12" x14ac:dyDescent="0.3">
      <c r="C89" s="1">
        <v>41152</v>
      </c>
      <c r="D89" s="2">
        <v>12.403499603271401</v>
      </c>
      <c r="E89" s="2">
        <v>12.4724998474121</v>
      </c>
      <c r="F89" s="2">
        <v>12.274999618530201</v>
      </c>
      <c r="G89" s="2">
        <v>12.413499832153301</v>
      </c>
      <c r="H89" s="2">
        <v>12.413499832153301</v>
      </c>
      <c r="I89" s="2">
        <v>66950000</v>
      </c>
      <c r="J89" s="2" t="str">
        <f>TEXT(Table1[[#This Row],[Date]],"dddd")</f>
        <v>Friday</v>
      </c>
      <c r="K89" s="2" t="str">
        <f>TEXT(Table1[[#This Row],[Date]],"mmmm")</f>
        <v>August</v>
      </c>
      <c r="L89" s="3" t="str">
        <f>TEXT(Table1[[#This Row],[Date]],"yyyy")</f>
        <v>2012</v>
      </c>
    </row>
    <row r="90" spans="3:12" x14ac:dyDescent="0.3">
      <c r="C90" s="4">
        <v>41156</v>
      </c>
      <c r="D90" s="5">
        <v>12.413499832153301</v>
      </c>
      <c r="E90" s="5">
        <v>12.550000190734799</v>
      </c>
      <c r="F90" s="5">
        <v>12.2329998016357</v>
      </c>
      <c r="G90" s="5">
        <v>12.3940000534057</v>
      </c>
      <c r="H90" s="5">
        <v>12.3940000534057</v>
      </c>
      <c r="I90" s="5">
        <v>79016000</v>
      </c>
      <c r="J90" s="2" t="str">
        <f>TEXT(Table1[[#This Row],[Date]],"dddd")</f>
        <v>Tuesday</v>
      </c>
      <c r="K90" s="5" t="str">
        <f>TEXT(Table1[[#This Row],[Date]],"mmmm")</f>
        <v>September</v>
      </c>
      <c r="L90" s="3" t="str">
        <f>TEXT(Table1[[#This Row],[Date]],"yyyy")</f>
        <v>2012</v>
      </c>
    </row>
    <row r="91" spans="3:12" x14ac:dyDescent="0.3">
      <c r="C91" s="1">
        <v>41157</v>
      </c>
      <c r="D91" s="2">
        <v>12.380499839782701</v>
      </c>
      <c r="E91" s="2">
        <v>12.4305000305175</v>
      </c>
      <c r="F91" s="2">
        <v>12.265000343322701</v>
      </c>
      <c r="G91" s="2">
        <v>12.310999870300201</v>
      </c>
      <c r="H91" s="2">
        <v>12.310999870300201</v>
      </c>
      <c r="I91" s="2">
        <v>53052000</v>
      </c>
      <c r="J91" s="2" t="str">
        <f>TEXT(Table1[[#This Row],[Date]],"dddd")</f>
        <v>Wednesday</v>
      </c>
      <c r="K91" s="2" t="str">
        <f>TEXT(Table1[[#This Row],[Date]],"mmmm")</f>
        <v>September</v>
      </c>
      <c r="L91" s="3" t="str">
        <f>TEXT(Table1[[#This Row],[Date]],"yyyy")</f>
        <v>2012</v>
      </c>
    </row>
    <row r="92" spans="3:12" x14ac:dyDescent="0.3">
      <c r="C92" s="4">
        <v>41158</v>
      </c>
      <c r="D92" s="5">
        <v>12.4114999771118</v>
      </c>
      <c r="E92" s="5">
        <v>12.6350002288818</v>
      </c>
      <c r="F92" s="5">
        <v>12.3599996566772</v>
      </c>
      <c r="G92" s="5">
        <v>12.5690002441406</v>
      </c>
      <c r="H92" s="5">
        <v>12.5690002441406</v>
      </c>
      <c r="I92" s="5">
        <v>107228000</v>
      </c>
      <c r="J92" s="2" t="str">
        <f>TEXT(Table1[[#This Row],[Date]],"dddd")</f>
        <v>Thursday</v>
      </c>
      <c r="K92" s="5" t="str">
        <f>TEXT(Table1[[#This Row],[Date]],"mmmm")</f>
        <v>September</v>
      </c>
      <c r="L92" s="3" t="str">
        <f>TEXT(Table1[[#This Row],[Date]],"yyyy")</f>
        <v>2012</v>
      </c>
    </row>
    <row r="93" spans="3:12" x14ac:dyDescent="0.3">
      <c r="C93" s="1">
        <v>41159</v>
      </c>
      <c r="D93" s="2">
        <v>12.6925001144409</v>
      </c>
      <c r="E93" s="2">
        <v>12.970999717712401</v>
      </c>
      <c r="F93" s="2">
        <v>12.6759996414184</v>
      </c>
      <c r="G93" s="2">
        <v>12.9569997787475</v>
      </c>
      <c r="H93" s="2">
        <v>12.9569997787475</v>
      </c>
      <c r="I93" s="2">
        <v>100590000</v>
      </c>
      <c r="J93" s="2" t="str">
        <f>TEXT(Table1[[#This Row],[Date]],"dddd")</f>
        <v>Friday</v>
      </c>
      <c r="K93" s="2" t="str">
        <f>TEXT(Table1[[#This Row],[Date]],"mmmm")</f>
        <v>September</v>
      </c>
      <c r="L93" s="3" t="str">
        <f>TEXT(Table1[[#This Row],[Date]],"yyyy")</f>
        <v>2012</v>
      </c>
    </row>
    <row r="94" spans="3:12" x14ac:dyDescent="0.3">
      <c r="C94" s="4">
        <v>41162</v>
      </c>
      <c r="D94" s="5">
        <v>12.949999809265099</v>
      </c>
      <c r="E94" s="5">
        <v>13</v>
      </c>
      <c r="F94" s="5">
        <v>12.840999603271401</v>
      </c>
      <c r="G94" s="5">
        <v>12.854499816894499</v>
      </c>
      <c r="H94" s="5">
        <v>12.854499816894499</v>
      </c>
      <c r="I94" s="5">
        <v>51344000</v>
      </c>
      <c r="J94" s="2" t="str">
        <f>TEXT(Table1[[#This Row],[Date]],"dddd")</f>
        <v>Monday</v>
      </c>
      <c r="K94" s="5" t="str">
        <f>TEXT(Table1[[#This Row],[Date]],"mmmm")</f>
        <v>September</v>
      </c>
      <c r="L94" s="3" t="str">
        <f>TEXT(Table1[[#This Row],[Date]],"yyyy")</f>
        <v>2012</v>
      </c>
    </row>
    <row r="95" spans="3:12" x14ac:dyDescent="0.3">
      <c r="C95" s="1">
        <v>41163</v>
      </c>
      <c r="D95" s="2">
        <v>12.8800001144409</v>
      </c>
      <c r="E95" s="2">
        <v>12.8800001144409</v>
      </c>
      <c r="F95" s="2">
        <v>12.7130002975463</v>
      </c>
      <c r="G95" s="2">
        <v>12.783499717712401</v>
      </c>
      <c r="H95" s="2">
        <v>12.783499717712401</v>
      </c>
      <c r="I95" s="2">
        <v>50496000</v>
      </c>
      <c r="J95" s="2" t="str">
        <f>TEXT(Table1[[#This Row],[Date]],"dddd")</f>
        <v>Tuesday</v>
      </c>
      <c r="K95" s="2" t="str">
        <f>TEXT(Table1[[#This Row],[Date]],"mmmm")</f>
        <v>September</v>
      </c>
      <c r="L95" s="3" t="str">
        <f>TEXT(Table1[[#This Row],[Date]],"yyyy")</f>
        <v>2012</v>
      </c>
    </row>
    <row r="96" spans="3:12" x14ac:dyDescent="0.3">
      <c r="C96" s="4">
        <v>41164</v>
      </c>
      <c r="D96" s="5">
        <v>12.824999809265099</v>
      </c>
      <c r="E96" s="5">
        <v>12.888999938964799</v>
      </c>
      <c r="F96" s="5">
        <v>12.675000190734799</v>
      </c>
      <c r="G96" s="5">
        <v>12.781499862670801</v>
      </c>
      <c r="H96" s="5">
        <v>12.781499862670801</v>
      </c>
      <c r="I96" s="5">
        <v>45464000</v>
      </c>
      <c r="J96" s="2" t="str">
        <f>TEXT(Table1[[#This Row],[Date]],"dddd")</f>
        <v>Wednesday</v>
      </c>
      <c r="K96" s="5" t="str">
        <f>TEXT(Table1[[#This Row],[Date]],"mmmm")</f>
        <v>September</v>
      </c>
      <c r="L96" s="3" t="str">
        <f>TEXT(Table1[[#This Row],[Date]],"yyyy")</f>
        <v>2012</v>
      </c>
    </row>
    <row r="97" spans="3:12" x14ac:dyDescent="0.3">
      <c r="C97" s="1">
        <v>41165</v>
      </c>
      <c r="D97" s="2">
        <v>12.746999740600501</v>
      </c>
      <c r="E97" s="2">
        <v>13.1000003814697</v>
      </c>
      <c r="F97" s="2">
        <v>12.689999580383301</v>
      </c>
      <c r="G97" s="2">
        <v>13.012000083923301</v>
      </c>
      <c r="H97" s="2">
        <v>13.012000083923301</v>
      </c>
      <c r="I97" s="2">
        <v>70512000</v>
      </c>
      <c r="J97" s="2" t="str">
        <f>TEXT(Table1[[#This Row],[Date]],"dddd")</f>
        <v>Thursday</v>
      </c>
      <c r="K97" s="2" t="str">
        <f>TEXT(Table1[[#This Row],[Date]],"mmmm")</f>
        <v>September</v>
      </c>
      <c r="L97" s="3" t="str">
        <f>TEXT(Table1[[#This Row],[Date]],"yyyy")</f>
        <v>2012</v>
      </c>
    </row>
    <row r="98" spans="3:12" x14ac:dyDescent="0.3">
      <c r="C98" s="4">
        <v>41166</v>
      </c>
      <c r="D98" s="5">
        <v>13.069999694824199</v>
      </c>
      <c r="E98" s="5">
        <v>13.2054996490478</v>
      </c>
      <c r="F98" s="5">
        <v>12.9884996414184</v>
      </c>
      <c r="G98" s="5">
        <v>13.063500404357899</v>
      </c>
      <c r="H98" s="5">
        <v>13.063500404357899</v>
      </c>
      <c r="I98" s="5">
        <v>73324000</v>
      </c>
      <c r="J98" s="2" t="str">
        <f>TEXT(Table1[[#This Row],[Date]],"dddd")</f>
        <v>Friday</v>
      </c>
      <c r="K98" s="5" t="str">
        <f>TEXT(Table1[[#This Row],[Date]],"mmmm")</f>
        <v>September</v>
      </c>
      <c r="L98" s="3" t="str">
        <f>TEXT(Table1[[#This Row],[Date]],"yyyy")</f>
        <v>2012</v>
      </c>
    </row>
    <row r="99" spans="3:12" x14ac:dyDescent="0.3">
      <c r="C99" s="1">
        <v>41169</v>
      </c>
      <c r="D99" s="2">
        <v>13.0625</v>
      </c>
      <c r="E99" s="2">
        <v>13.0625</v>
      </c>
      <c r="F99" s="2">
        <v>12.8500003814697</v>
      </c>
      <c r="G99" s="2">
        <v>12.899999618530201</v>
      </c>
      <c r="H99" s="2">
        <v>12.899999618530201</v>
      </c>
      <c r="I99" s="2">
        <v>46126000</v>
      </c>
      <c r="J99" s="2" t="str">
        <f>TEXT(Table1[[#This Row],[Date]],"dddd")</f>
        <v>Monday</v>
      </c>
      <c r="K99" s="2" t="str">
        <f>TEXT(Table1[[#This Row],[Date]],"mmmm")</f>
        <v>September</v>
      </c>
      <c r="L99" s="3" t="str">
        <f>TEXT(Table1[[#This Row],[Date]],"yyyy")</f>
        <v>2012</v>
      </c>
    </row>
    <row r="100" spans="3:12" x14ac:dyDescent="0.3">
      <c r="C100" s="4">
        <v>41170</v>
      </c>
      <c r="D100" s="5">
        <v>12.9239997863769</v>
      </c>
      <c r="E100" s="5">
        <v>13.024999618530201</v>
      </c>
      <c r="F100" s="5">
        <v>12.8500003814697</v>
      </c>
      <c r="G100" s="5">
        <v>12.9375</v>
      </c>
      <c r="H100" s="5">
        <v>12.9375</v>
      </c>
      <c r="I100" s="5">
        <v>44300000</v>
      </c>
      <c r="J100" s="2" t="str">
        <f>TEXT(Table1[[#This Row],[Date]],"dddd")</f>
        <v>Tuesday</v>
      </c>
      <c r="K100" s="5" t="str">
        <f>TEXT(Table1[[#This Row],[Date]],"mmmm")</f>
        <v>September</v>
      </c>
      <c r="L100" s="3" t="str">
        <f>TEXT(Table1[[#This Row],[Date]],"yyyy")</f>
        <v>2012</v>
      </c>
    </row>
    <row r="101" spans="3:12" x14ac:dyDescent="0.3">
      <c r="C101" s="1">
        <v>41171</v>
      </c>
      <c r="D101" s="2">
        <v>12.9724998474121</v>
      </c>
      <c r="E101" s="2">
        <v>13.142000198364199</v>
      </c>
      <c r="F101" s="2">
        <v>12.926500320434499</v>
      </c>
      <c r="G101" s="2">
        <v>13.083999633789</v>
      </c>
      <c r="H101" s="2">
        <v>13.083999633789</v>
      </c>
      <c r="I101" s="2">
        <v>52736000</v>
      </c>
      <c r="J101" s="2" t="str">
        <f>TEXT(Table1[[#This Row],[Date]],"dddd")</f>
        <v>Wednesday</v>
      </c>
      <c r="K101" s="2" t="str">
        <f>TEXT(Table1[[#This Row],[Date]],"mmmm")</f>
        <v>September</v>
      </c>
      <c r="L101" s="3" t="str">
        <f>TEXT(Table1[[#This Row],[Date]],"yyyy")</f>
        <v>2012</v>
      </c>
    </row>
    <row r="102" spans="3:12" x14ac:dyDescent="0.3">
      <c r="C102" s="4">
        <v>41172</v>
      </c>
      <c r="D102" s="5">
        <v>13.0015001296997</v>
      </c>
      <c r="E102" s="5">
        <v>13.043499946594199</v>
      </c>
      <c r="F102" s="5">
        <v>12.899999618530201</v>
      </c>
      <c r="G102" s="5">
        <v>13.040499687194799</v>
      </c>
      <c r="H102" s="5">
        <v>13.040499687194799</v>
      </c>
      <c r="I102" s="5">
        <v>58272000</v>
      </c>
      <c r="J102" s="2" t="str">
        <f>TEXT(Table1[[#This Row],[Date]],"dddd")</f>
        <v>Thursday</v>
      </c>
      <c r="K102" s="5" t="str">
        <f>TEXT(Table1[[#This Row],[Date]],"mmmm")</f>
        <v>September</v>
      </c>
      <c r="L102" s="3" t="str">
        <f>TEXT(Table1[[#This Row],[Date]],"yyyy")</f>
        <v>2012</v>
      </c>
    </row>
    <row r="103" spans="3:12" x14ac:dyDescent="0.3">
      <c r="C103" s="1">
        <v>41173</v>
      </c>
      <c r="D103" s="2">
        <v>13.0869998931884</v>
      </c>
      <c r="E103" s="2">
        <v>13.1000003814697</v>
      </c>
      <c r="F103" s="2">
        <v>12.8369998931884</v>
      </c>
      <c r="G103" s="2">
        <v>12.873499870300201</v>
      </c>
      <c r="H103" s="2">
        <v>12.873499870300201</v>
      </c>
      <c r="I103" s="2">
        <v>121186000</v>
      </c>
      <c r="J103" s="2" t="str">
        <f>TEXT(Table1[[#This Row],[Date]],"dddd")</f>
        <v>Friday</v>
      </c>
      <c r="K103" s="2" t="str">
        <f>TEXT(Table1[[#This Row],[Date]],"mmmm")</f>
        <v>September</v>
      </c>
      <c r="L103" s="3" t="str">
        <f>TEXT(Table1[[#This Row],[Date]],"yyyy")</f>
        <v>2012</v>
      </c>
    </row>
    <row r="104" spans="3:12" x14ac:dyDescent="0.3">
      <c r="C104" s="4">
        <v>41176</v>
      </c>
      <c r="D104" s="5">
        <v>12.760999679565399</v>
      </c>
      <c r="E104" s="5">
        <v>12.779999732971101</v>
      </c>
      <c r="F104" s="5">
        <v>12.649999618530201</v>
      </c>
      <c r="G104" s="5">
        <v>12.7399997711181</v>
      </c>
      <c r="H104" s="5">
        <v>12.7399997711181</v>
      </c>
      <c r="I104" s="5">
        <v>54158000</v>
      </c>
      <c r="J104" s="2" t="str">
        <f>TEXT(Table1[[#This Row],[Date]],"dddd")</f>
        <v>Monday</v>
      </c>
      <c r="K104" s="5" t="str">
        <f>TEXT(Table1[[#This Row],[Date]],"mmmm")</f>
        <v>September</v>
      </c>
      <c r="L104" s="3" t="str">
        <f>TEXT(Table1[[#This Row],[Date]],"yyyy")</f>
        <v>2012</v>
      </c>
    </row>
    <row r="105" spans="3:12" x14ac:dyDescent="0.3">
      <c r="C105" s="1">
        <v>41177</v>
      </c>
      <c r="D105" s="2">
        <v>12.816499710083001</v>
      </c>
      <c r="E105" s="2">
        <v>12.9475002288818</v>
      </c>
      <c r="F105" s="2">
        <v>12.551500320434499</v>
      </c>
      <c r="G105" s="2">
        <v>12.6230001449584</v>
      </c>
      <c r="H105" s="2">
        <v>12.6230001449584</v>
      </c>
      <c r="I105" s="2">
        <v>88116000</v>
      </c>
      <c r="J105" s="2" t="str">
        <f>TEXT(Table1[[#This Row],[Date]],"dddd")</f>
        <v>Tuesday</v>
      </c>
      <c r="K105" s="2" t="str">
        <f>TEXT(Table1[[#This Row],[Date]],"mmmm")</f>
        <v>September</v>
      </c>
      <c r="L105" s="3" t="str">
        <f>TEXT(Table1[[#This Row],[Date]],"yyyy")</f>
        <v>2012</v>
      </c>
    </row>
    <row r="106" spans="3:12" x14ac:dyDescent="0.3">
      <c r="C106" s="4">
        <v>41178</v>
      </c>
      <c r="D106" s="5">
        <v>12.619999885559</v>
      </c>
      <c r="E106" s="5">
        <v>12.730500221252401</v>
      </c>
      <c r="F106" s="5">
        <v>12.4114999771118</v>
      </c>
      <c r="G106" s="5">
        <v>12.4834995269775</v>
      </c>
      <c r="H106" s="5">
        <v>12.4834995269775</v>
      </c>
      <c r="I106" s="5">
        <v>58410000</v>
      </c>
      <c r="J106" s="2" t="str">
        <f>TEXT(Table1[[#This Row],[Date]],"dddd")</f>
        <v>Wednesday</v>
      </c>
      <c r="K106" s="5" t="str">
        <f>TEXT(Table1[[#This Row],[Date]],"mmmm")</f>
        <v>September</v>
      </c>
      <c r="L106" s="3" t="str">
        <f>TEXT(Table1[[#This Row],[Date]],"yyyy")</f>
        <v>2012</v>
      </c>
    </row>
    <row r="107" spans="3:12" x14ac:dyDescent="0.3">
      <c r="C107" s="1">
        <v>41179</v>
      </c>
      <c r="D107" s="2">
        <v>12.527000427246</v>
      </c>
      <c r="E107" s="2">
        <v>12.869999885559</v>
      </c>
      <c r="F107" s="2">
        <v>12.5260000228881</v>
      </c>
      <c r="G107" s="2">
        <v>12.829500198364199</v>
      </c>
      <c r="H107" s="2">
        <v>12.829500198364199</v>
      </c>
      <c r="I107" s="2">
        <v>67948000</v>
      </c>
      <c r="J107" s="2" t="str">
        <f>TEXT(Table1[[#This Row],[Date]],"dddd")</f>
        <v>Thursday</v>
      </c>
      <c r="K107" s="2" t="str">
        <f>TEXT(Table1[[#This Row],[Date]],"mmmm")</f>
        <v>September</v>
      </c>
      <c r="L107" s="3" t="str">
        <f>TEXT(Table1[[#This Row],[Date]],"yyyy")</f>
        <v>2012</v>
      </c>
    </row>
    <row r="108" spans="3:12" x14ac:dyDescent="0.3">
      <c r="C108" s="4">
        <v>41180</v>
      </c>
      <c r="D108" s="5">
        <v>12.8070001602172</v>
      </c>
      <c r="E108" s="5">
        <v>12.8500003814697</v>
      </c>
      <c r="F108" s="5">
        <v>12.6599998474121</v>
      </c>
      <c r="G108" s="5">
        <v>12.715999603271401</v>
      </c>
      <c r="H108" s="5">
        <v>12.715999603271401</v>
      </c>
      <c r="I108" s="5">
        <v>49132000</v>
      </c>
      <c r="J108" s="2" t="str">
        <f>TEXT(Table1[[#This Row],[Date]],"dddd")</f>
        <v>Friday</v>
      </c>
      <c r="K108" s="5" t="str">
        <f>TEXT(Table1[[#This Row],[Date]],"mmmm")</f>
        <v>September</v>
      </c>
      <c r="L108" s="3" t="str">
        <f>TEXT(Table1[[#This Row],[Date]],"yyyy")</f>
        <v>2012</v>
      </c>
    </row>
    <row r="109" spans="3:12" x14ac:dyDescent="0.3">
      <c r="C109" s="1">
        <v>41183</v>
      </c>
      <c r="D109" s="2">
        <v>12.770000457763601</v>
      </c>
      <c r="E109" s="2">
        <v>12.807999610900801</v>
      </c>
      <c r="F109" s="2">
        <v>12.5244998931884</v>
      </c>
      <c r="G109" s="2">
        <v>12.6005001068115</v>
      </c>
      <c r="H109" s="2">
        <v>12.6005001068115</v>
      </c>
      <c r="I109" s="2">
        <v>51624000</v>
      </c>
      <c r="J109" s="2" t="str">
        <f>TEXT(Table1[[#This Row],[Date]],"dddd")</f>
        <v>Monday</v>
      </c>
      <c r="K109" s="2" t="str">
        <f>TEXT(Table1[[#This Row],[Date]],"mmmm")</f>
        <v>October</v>
      </c>
      <c r="L109" s="3" t="str">
        <f>TEXT(Table1[[#This Row],[Date]],"yyyy")</f>
        <v>2012</v>
      </c>
    </row>
    <row r="110" spans="3:12" x14ac:dyDescent="0.3">
      <c r="C110" s="4">
        <v>41184</v>
      </c>
      <c r="D110" s="5">
        <v>12.640000343322701</v>
      </c>
      <c r="E110" s="5">
        <v>12.6575002670288</v>
      </c>
      <c r="F110" s="5">
        <v>12.451499938964799</v>
      </c>
      <c r="G110" s="5">
        <v>12.529999732971101</v>
      </c>
      <c r="H110" s="5">
        <v>12.529999732971101</v>
      </c>
      <c r="I110" s="5">
        <v>43916000</v>
      </c>
      <c r="J110" s="2" t="str">
        <f>TEXT(Table1[[#This Row],[Date]],"dddd")</f>
        <v>Tuesday</v>
      </c>
      <c r="K110" s="5" t="str">
        <f>TEXT(Table1[[#This Row],[Date]],"mmmm")</f>
        <v>October</v>
      </c>
      <c r="L110" s="3" t="str">
        <f>TEXT(Table1[[#This Row],[Date]],"yyyy")</f>
        <v>2012</v>
      </c>
    </row>
    <row r="111" spans="3:12" x14ac:dyDescent="0.3">
      <c r="C111" s="1">
        <v>41185</v>
      </c>
      <c r="D111" s="2">
        <v>12.5605001449584</v>
      </c>
      <c r="E111" s="2">
        <v>12.8050003051757</v>
      </c>
      <c r="F111" s="2">
        <v>12.477999687194799</v>
      </c>
      <c r="G111" s="2">
        <v>12.7959995269775</v>
      </c>
      <c r="H111" s="2">
        <v>12.7959995269775</v>
      </c>
      <c r="I111" s="2">
        <v>54912000</v>
      </c>
      <c r="J111" s="2" t="str">
        <f>TEXT(Table1[[#This Row],[Date]],"dddd")</f>
        <v>Wednesday</v>
      </c>
      <c r="K111" s="2" t="str">
        <f>TEXT(Table1[[#This Row],[Date]],"mmmm")</f>
        <v>October</v>
      </c>
      <c r="L111" s="3" t="str">
        <f>TEXT(Table1[[#This Row],[Date]],"yyyy")</f>
        <v>2012</v>
      </c>
    </row>
    <row r="112" spans="3:12" x14ac:dyDescent="0.3">
      <c r="C112" s="4">
        <v>41186</v>
      </c>
      <c r="D112" s="5">
        <v>12.8004999160766</v>
      </c>
      <c r="E112" s="5">
        <v>13.076000213623001</v>
      </c>
      <c r="F112" s="5">
        <v>12.793499946594199</v>
      </c>
      <c r="G112" s="5">
        <v>13.023500442504799</v>
      </c>
      <c r="H112" s="5">
        <v>13.023500442504799</v>
      </c>
      <c r="I112" s="5">
        <v>54008000</v>
      </c>
      <c r="J112" s="2" t="str">
        <f>TEXT(Table1[[#This Row],[Date]],"dddd")</f>
        <v>Thursday</v>
      </c>
      <c r="K112" s="5" t="str">
        <f>TEXT(Table1[[#This Row],[Date]],"mmmm")</f>
        <v>October</v>
      </c>
      <c r="L112" s="3" t="str">
        <f>TEXT(Table1[[#This Row],[Date]],"yyyy")</f>
        <v>2012</v>
      </c>
    </row>
    <row r="113" spans="3:12" x14ac:dyDescent="0.3">
      <c r="C113" s="1">
        <v>41187</v>
      </c>
      <c r="D113" s="2">
        <v>13.060000419616699</v>
      </c>
      <c r="E113" s="2">
        <v>13.0950002670288</v>
      </c>
      <c r="F113" s="2">
        <v>12.8745002746582</v>
      </c>
      <c r="G113" s="2">
        <v>12.9254999160766</v>
      </c>
      <c r="H113" s="2">
        <v>12.9254999160766</v>
      </c>
      <c r="I113" s="2">
        <v>56130000</v>
      </c>
      <c r="J113" s="2" t="str">
        <f>TEXT(Table1[[#This Row],[Date]],"dddd")</f>
        <v>Friday</v>
      </c>
      <c r="K113" s="2" t="str">
        <f>TEXT(Table1[[#This Row],[Date]],"mmmm")</f>
        <v>October</v>
      </c>
      <c r="L113" s="3" t="str">
        <f>TEXT(Table1[[#This Row],[Date]],"yyyy")</f>
        <v>2012</v>
      </c>
    </row>
    <row r="114" spans="3:12" x14ac:dyDescent="0.3">
      <c r="C114" s="4">
        <v>41190</v>
      </c>
      <c r="D114" s="5">
        <v>12.8835000991821</v>
      </c>
      <c r="E114" s="5">
        <v>12.9899997711181</v>
      </c>
      <c r="F114" s="5">
        <v>12.7779998779296</v>
      </c>
      <c r="G114" s="5">
        <v>12.953000068664499</v>
      </c>
      <c r="H114" s="5">
        <v>12.953000068664499</v>
      </c>
      <c r="I114" s="5">
        <v>35246000</v>
      </c>
      <c r="J114" s="2" t="str">
        <f>TEXT(Table1[[#This Row],[Date]],"dddd")</f>
        <v>Monday</v>
      </c>
      <c r="K114" s="5" t="str">
        <f>TEXT(Table1[[#This Row],[Date]],"mmmm")</f>
        <v>October</v>
      </c>
      <c r="L114" s="3" t="str">
        <f>TEXT(Table1[[#This Row],[Date]],"yyyy")</f>
        <v>2012</v>
      </c>
    </row>
    <row r="115" spans="3:12" x14ac:dyDescent="0.3">
      <c r="C115" s="1">
        <v>41191</v>
      </c>
      <c r="D115" s="2">
        <v>12.9335002899169</v>
      </c>
      <c r="E115" s="2">
        <v>12.967499732971101</v>
      </c>
      <c r="F115" s="2">
        <v>12.5364999771118</v>
      </c>
      <c r="G115" s="2">
        <v>12.548000335693301</v>
      </c>
      <c r="H115" s="2">
        <v>12.548000335693301</v>
      </c>
      <c r="I115" s="2">
        <v>69896000</v>
      </c>
      <c r="J115" s="2" t="str">
        <f>TEXT(Table1[[#This Row],[Date]],"dddd")</f>
        <v>Tuesday</v>
      </c>
      <c r="K115" s="2" t="str">
        <f>TEXT(Table1[[#This Row],[Date]],"mmmm")</f>
        <v>October</v>
      </c>
      <c r="L115" s="3" t="str">
        <f>TEXT(Table1[[#This Row],[Date]],"yyyy")</f>
        <v>2012</v>
      </c>
    </row>
    <row r="116" spans="3:12" x14ac:dyDescent="0.3">
      <c r="C116" s="4">
        <v>41192</v>
      </c>
      <c r="D116" s="5">
        <v>12.6000003814697</v>
      </c>
      <c r="E116" s="5">
        <v>12.6230001449584</v>
      </c>
      <c r="F116" s="5">
        <v>12.2004995346069</v>
      </c>
      <c r="G116" s="5">
        <v>12.2495002746582</v>
      </c>
      <c r="H116" s="5">
        <v>12.2495002746582</v>
      </c>
      <c r="I116" s="5">
        <v>78966000</v>
      </c>
      <c r="J116" s="2" t="str">
        <f>TEXT(Table1[[#This Row],[Date]],"dddd")</f>
        <v>Wednesday</v>
      </c>
      <c r="K116" s="5" t="str">
        <f>TEXT(Table1[[#This Row],[Date]],"mmmm")</f>
        <v>October</v>
      </c>
      <c r="L116" s="3" t="str">
        <f>TEXT(Table1[[#This Row],[Date]],"yyyy")</f>
        <v>2012</v>
      </c>
    </row>
    <row r="117" spans="3:12" x14ac:dyDescent="0.3">
      <c r="C117" s="1">
        <v>41193</v>
      </c>
      <c r="D117" s="2">
        <v>12.399999618530201</v>
      </c>
      <c r="E117" s="2">
        <v>12.4650001525878</v>
      </c>
      <c r="F117" s="2">
        <v>12.094499588012599</v>
      </c>
      <c r="G117" s="2">
        <v>12.211000442504799</v>
      </c>
      <c r="H117" s="2">
        <v>12.211000442504799</v>
      </c>
      <c r="I117" s="2">
        <v>68946000</v>
      </c>
      <c r="J117" s="2" t="str">
        <f>TEXT(Table1[[#This Row],[Date]],"dddd")</f>
        <v>Thursday</v>
      </c>
      <c r="K117" s="2" t="str">
        <f>TEXT(Table1[[#This Row],[Date]],"mmmm")</f>
        <v>October</v>
      </c>
      <c r="L117" s="3" t="str">
        <f>TEXT(Table1[[#This Row],[Date]],"yyyy")</f>
        <v>2012</v>
      </c>
    </row>
    <row r="118" spans="3:12" x14ac:dyDescent="0.3">
      <c r="C118" s="4">
        <v>41194</v>
      </c>
      <c r="D118" s="5">
        <v>12.1590003967285</v>
      </c>
      <c r="E118" s="5">
        <v>12.2729997634887</v>
      </c>
      <c r="F118" s="5">
        <v>12.0954999923706</v>
      </c>
      <c r="G118" s="5">
        <v>12.1180000305175</v>
      </c>
      <c r="H118" s="5">
        <v>12.1180000305175</v>
      </c>
      <c r="I118" s="5">
        <v>44064000</v>
      </c>
      <c r="J118" s="2" t="str">
        <f>TEXT(Table1[[#This Row],[Date]],"dddd")</f>
        <v>Friday</v>
      </c>
      <c r="K118" s="5" t="str">
        <f>TEXT(Table1[[#This Row],[Date]],"mmmm")</f>
        <v>October</v>
      </c>
      <c r="L118" s="3" t="str">
        <f>TEXT(Table1[[#This Row],[Date]],"yyyy")</f>
        <v>2012</v>
      </c>
    </row>
    <row r="119" spans="3:12" x14ac:dyDescent="0.3">
      <c r="C119" s="1">
        <v>41197</v>
      </c>
      <c r="D119" s="2">
        <v>12.142499923706</v>
      </c>
      <c r="E119" s="2">
        <v>12.239000320434499</v>
      </c>
      <c r="F119" s="2">
        <v>11.9254999160766</v>
      </c>
      <c r="G119" s="2">
        <v>12.208999633789</v>
      </c>
      <c r="H119" s="2">
        <v>12.208999633789</v>
      </c>
      <c r="I119" s="2">
        <v>59196000</v>
      </c>
      <c r="J119" s="2" t="str">
        <f>TEXT(Table1[[#This Row],[Date]],"dddd")</f>
        <v>Monday</v>
      </c>
      <c r="K119" s="2" t="str">
        <f>TEXT(Table1[[#This Row],[Date]],"mmmm")</f>
        <v>October</v>
      </c>
      <c r="L119" s="3" t="str">
        <f>TEXT(Table1[[#This Row],[Date]],"yyyy")</f>
        <v>2012</v>
      </c>
    </row>
    <row r="120" spans="3:12" x14ac:dyDescent="0.3">
      <c r="C120" s="4">
        <v>41198</v>
      </c>
      <c r="D120" s="5">
        <v>12.2434997558593</v>
      </c>
      <c r="E120" s="5">
        <v>12.288499832153301</v>
      </c>
      <c r="F120" s="5">
        <v>12.104000091552701</v>
      </c>
      <c r="G120" s="5">
        <v>12.1969995498657</v>
      </c>
      <c r="H120" s="5">
        <v>12.1969995498657</v>
      </c>
      <c r="I120" s="5">
        <v>44082000</v>
      </c>
      <c r="J120" s="2" t="str">
        <f>TEXT(Table1[[#This Row],[Date]],"dddd")</f>
        <v>Tuesday</v>
      </c>
      <c r="K120" s="5" t="str">
        <f>TEXT(Table1[[#This Row],[Date]],"mmmm")</f>
        <v>October</v>
      </c>
      <c r="L120" s="3" t="str">
        <f>TEXT(Table1[[#This Row],[Date]],"yyyy")</f>
        <v>2012</v>
      </c>
    </row>
    <row r="121" spans="3:12" x14ac:dyDescent="0.3">
      <c r="C121" s="1">
        <v>41199</v>
      </c>
      <c r="D121" s="2">
        <v>12.168499946594199</v>
      </c>
      <c r="E121" s="2">
        <v>12.439999580383301</v>
      </c>
      <c r="F121" s="2">
        <v>12.164999961853001</v>
      </c>
      <c r="G121" s="2">
        <v>12.3745002746582</v>
      </c>
      <c r="H121" s="2">
        <v>12.3745002746582</v>
      </c>
      <c r="I121" s="2">
        <v>66054000</v>
      </c>
      <c r="J121" s="2" t="str">
        <f>TEXT(Table1[[#This Row],[Date]],"dddd")</f>
        <v>Wednesday</v>
      </c>
      <c r="K121" s="2" t="str">
        <f>TEXT(Table1[[#This Row],[Date]],"mmmm")</f>
        <v>October</v>
      </c>
      <c r="L121" s="3" t="str">
        <f>TEXT(Table1[[#This Row],[Date]],"yyyy")</f>
        <v>2012</v>
      </c>
    </row>
    <row r="122" spans="3:12" x14ac:dyDescent="0.3">
      <c r="C122" s="4">
        <v>41200</v>
      </c>
      <c r="D122" s="5">
        <v>12.388500213623001</v>
      </c>
      <c r="E122" s="5">
        <v>12.5454998016357</v>
      </c>
      <c r="F122" s="5">
        <v>12.1350002288818</v>
      </c>
      <c r="G122" s="5">
        <v>12.2425003051757</v>
      </c>
      <c r="H122" s="5">
        <v>12.2425003051757</v>
      </c>
      <c r="I122" s="5">
        <v>106106000</v>
      </c>
      <c r="J122" s="2" t="str">
        <f>TEXT(Table1[[#This Row],[Date]],"dddd")</f>
        <v>Thursday</v>
      </c>
      <c r="K122" s="5" t="str">
        <f>TEXT(Table1[[#This Row],[Date]],"mmmm")</f>
        <v>October</v>
      </c>
      <c r="L122" s="3" t="str">
        <f>TEXT(Table1[[#This Row],[Date]],"yyyy")</f>
        <v>2012</v>
      </c>
    </row>
    <row r="123" spans="3:12" x14ac:dyDescent="0.3">
      <c r="C123" s="1">
        <v>41201</v>
      </c>
      <c r="D123" s="2">
        <v>12.2580003738403</v>
      </c>
      <c r="E123" s="2">
        <v>12.340999603271401</v>
      </c>
      <c r="F123" s="2">
        <v>11.9469995498657</v>
      </c>
      <c r="G123" s="2">
        <v>12</v>
      </c>
      <c r="H123" s="2">
        <v>12</v>
      </c>
      <c r="I123" s="2">
        <v>87906000</v>
      </c>
      <c r="J123" s="2" t="str">
        <f>TEXT(Table1[[#This Row],[Date]],"dddd")</f>
        <v>Friday</v>
      </c>
      <c r="K123" s="2" t="str">
        <f>TEXT(Table1[[#This Row],[Date]],"mmmm")</f>
        <v>October</v>
      </c>
      <c r="L123" s="3" t="str">
        <f>TEXT(Table1[[#This Row],[Date]],"yyyy")</f>
        <v>2012</v>
      </c>
    </row>
    <row r="124" spans="3:12" x14ac:dyDescent="0.3">
      <c r="C124" s="4">
        <v>41204</v>
      </c>
      <c r="D124" s="5">
        <v>11.9405002593994</v>
      </c>
      <c r="E124" s="5">
        <v>11.9475002288818</v>
      </c>
      <c r="F124" s="5">
        <v>11.616000175476</v>
      </c>
      <c r="G124" s="5">
        <v>11.6890001296997</v>
      </c>
      <c r="H124" s="5">
        <v>11.6890001296997</v>
      </c>
      <c r="I124" s="5">
        <v>90000000</v>
      </c>
      <c r="J124" s="2" t="str">
        <f>TEXT(Table1[[#This Row],[Date]],"dddd")</f>
        <v>Monday</v>
      </c>
      <c r="K124" s="5" t="str">
        <f>TEXT(Table1[[#This Row],[Date]],"mmmm")</f>
        <v>October</v>
      </c>
      <c r="L124" s="3" t="str">
        <f>TEXT(Table1[[#This Row],[Date]],"yyyy")</f>
        <v>2012</v>
      </c>
    </row>
    <row r="125" spans="3:12" x14ac:dyDescent="0.3">
      <c r="C125" s="1">
        <v>41205</v>
      </c>
      <c r="D125" s="2">
        <v>11.5524997711181</v>
      </c>
      <c r="E125" s="2">
        <v>11.824999809265099</v>
      </c>
      <c r="F125" s="2">
        <v>11.500499725341699</v>
      </c>
      <c r="G125" s="2">
        <v>11.7154998779296</v>
      </c>
      <c r="H125" s="2">
        <v>11.7154998779296</v>
      </c>
      <c r="I125" s="2">
        <v>88616000</v>
      </c>
      <c r="J125" s="2" t="str">
        <f>TEXT(Table1[[#This Row],[Date]],"dddd")</f>
        <v>Tuesday</v>
      </c>
      <c r="K125" s="2" t="str">
        <f>TEXT(Table1[[#This Row],[Date]],"mmmm")</f>
        <v>October</v>
      </c>
      <c r="L125" s="3" t="str">
        <f>TEXT(Table1[[#This Row],[Date]],"yyyy")</f>
        <v>2012</v>
      </c>
    </row>
    <row r="126" spans="3:12" x14ac:dyDescent="0.3">
      <c r="C126" s="4">
        <v>41206</v>
      </c>
      <c r="D126" s="5">
        <v>11.793999671936</v>
      </c>
      <c r="E126" s="5">
        <v>11.796999931335399</v>
      </c>
      <c r="F126" s="5">
        <v>11.3975000381469</v>
      </c>
      <c r="G126" s="5">
        <v>11.424500465393001</v>
      </c>
      <c r="H126" s="5">
        <v>11.424500465393001</v>
      </c>
      <c r="I126" s="5">
        <v>73574000</v>
      </c>
      <c r="J126" s="2" t="str">
        <f>TEXT(Table1[[#This Row],[Date]],"dddd")</f>
        <v>Wednesday</v>
      </c>
      <c r="K126" s="5" t="str">
        <f>TEXT(Table1[[#This Row],[Date]],"mmmm")</f>
        <v>October</v>
      </c>
      <c r="L126" s="3" t="str">
        <f>TEXT(Table1[[#This Row],[Date]],"yyyy")</f>
        <v>2012</v>
      </c>
    </row>
    <row r="127" spans="3:12" x14ac:dyDescent="0.3">
      <c r="C127" s="1">
        <v>41207</v>
      </c>
      <c r="D127" s="2">
        <v>11.5459995269775</v>
      </c>
      <c r="E127" s="2">
        <v>11.5459995269775</v>
      </c>
      <c r="F127" s="2">
        <v>11.1459999084472</v>
      </c>
      <c r="G127" s="2">
        <v>11.1459999084472</v>
      </c>
      <c r="H127" s="2">
        <v>11.1459999084472</v>
      </c>
      <c r="I127" s="2">
        <v>134826000</v>
      </c>
      <c r="J127" s="2" t="str">
        <f>TEXT(Table1[[#This Row],[Date]],"dddd")</f>
        <v>Thursday</v>
      </c>
      <c r="K127" s="2" t="str">
        <f>TEXT(Table1[[#This Row],[Date]],"mmmm")</f>
        <v>October</v>
      </c>
      <c r="L127" s="3" t="str">
        <f>TEXT(Table1[[#This Row],[Date]],"yyyy")</f>
        <v>2012</v>
      </c>
    </row>
    <row r="128" spans="3:12" x14ac:dyDescent="0.3">
      <c r="C128" s="4">
        <v>41208</v>
      </c>
      <c r="D128" s="5">
        <v>11.4300003051757</v>
      </c>
      <c r="E128" s="5">
        <v>11.9355001449584</v>
      </c>
      <c r="F128" s="5">
        <v>11.334500312805099</v>
      </c>
      <c r="G128" s="5">
        <v>11.911999702453601</v>
      </c>
      <c r="H128" s="5">
        <v>11.911999702453601</v>
      </c>
      <c r="I128" s="5">
        <v>227350000</v>
      </c>
      <c r="J128" s="2" t="str">
        <f>TEXT(Table1[[#This Row],[Date]],"dddd")</f>
        <v>Friday</v>
      </c>
      <c r="K128" s="5" t="str">
        <f>TEXT(Table1[[#This Row],[Date]],"mmmm")</f>
        <v>October</v>
      </c>
      <c r="L128" s="3" t="str">
        <f>TEXT(Table1[[#This Row],[Date]],"yyyy")</f>
        <v>2012</v>
      </c>
    </row>
    <row r="129" spans="3:12" x14ac:dyDescent="0.3">
      <c r="C129" s="1">
        <v>41213</v>
      </c>
      <c r="D129" s="2">
        <v>11.8159999847412</v>
      </c>
      <c r="E129" s="2">
        <v>11.935000419616699</v>
      </c>
      <c r="F129" s="2">
        <v>11.524999618530201</v>
      </c>
      <c r="G129" s="2">
        <v>11.6444997787475</v>
      </c>
      <c r="H129" s="2">
        <v>11.6444997787475</v>
      </c>
      <c r="I129" s="2">
        <v>95952000</v>
      </c>
      <c r="J129" s="2" t="str">
        <f>TEXT(Table1[[#This Row],[Date]],"dddd")</f>
        <v>Wednesday</v>
      </c>
      <c r="K129" s="2" t="str">
        <f>TEXT(Table1[[#This Row],[Date]],"mmmm")</f>
        <v>October</v>
      </c>
      <c r="L129" s="3" t="str">
        <f>TEXT(Table1[[#This Row],[Date]],"yyyy")</f>
        <v>2012</v>
      </c>
    </row>
    <row r="130" spans="3:12" x14ac:dyDescent="0.3">
      <c r="C130" s="4">
        <v>41214</v>
      </c>
      <c r="D130" s="5">
        <v>11.7115001678466</v>
      </c>
      <c r="E130" s="5">
        <v>11.727499961853001</v>
      </c>
      <c r="F130" s="5">
        <v>11.5670003890991</v>
      </c>
      <c r="G130" s="5">
        <v>11.6070003509521</v>
      </c>
      <c r="H130" s="5">
        <v>11.6070003509521</v>
      </c>
      <c r="I130" s="5">
        <v>78102000</v>
      </c>
      <c r="J130" s="2" t="str">
        <f>TEXT(Table1[[#This Row],[Date]],"dddd")</f>
        <v>Thursday</v>
      </c>
      <c r="K130" s="5" t="str">
        <f>TEXT(Table1[[#This Row],[Date]],"mmmm")</f>
        <v>November</v>
      </c>
      <c r="L130" s="3" t="str">
        <f>TEXT(Table1[[#This Row],[Date]],"yyyy")</f>
        <v>2012</v>
      </c>
    </row>
    <row r="131" spans="3:12" x14ac:dyDescent="0.3">
      <c r="C131" s="1">
        <v>41215</v>
      </c>
      <c r="D131" s="2">
        <v>11.7004995346069</v>
      </c>
      <c r="E131" s="2">
        <v>11.869999885559</v>
      </c>
      <c r="F131" s="2">
        <v>11.605500221252401</v>
      </c>
      <c r="G131" s="2">
        <v>11.6210002899169</v>
      </c>
      <c r="H131" s="2">
        <v>11.6210002899169</v>
      </c>
      <c r="I131" s="2">
        <v>67494000</v>
      </c>
      <c r="J131" s="2" t="str">
        <f>TEXT(Table1[[#This Row],[Date]],"dddd")</f>
        <v>Friday</v>
      </c>
      <c r="K131" s="2" t="str">
        <f>TEXT(Table1[[#This Row],[Date]],"mmmm")</f>
        <v>November</v>
      </c>
      <c r="L131" s="3" t="str">
        <f>TEXT(Table1[[#This Row],[Date]],"yyyy")</f>
        <v>2012</v>
      </c>
    </row>
    <row r="132" spans="3:12" x14ac:dyDescent="0.3">
      <c r="C132" s="4">
        <v>41218</v>
      </c>
      <c r="D132" s="5">
        <v>11.6020002365112</v>
      </c>
      <c r="E132" s="5">
        <v>11.7414999008178</v>
      </c>
      <c r="F132" s="5">
        <v>11.505499839782701</v>
      </c>
      <c r="G132" s="5">
        <v>11.7165002822875</v>
      </c>
      <c r="H132" s="5">
        <v>11.7165002822875</v>
      </c>
      <c r="I132" s="5">
        <v>36922000</v>
      </c>
      <c r="J132" s="2" t="str">
        <f>TEXT(Table1[[#This Row],[Date]],"dddd")</f>
        <v>Monday</v>
      </c>
      <c r="K132" s="5" t="str">
        <f>TEXT(Table1[[#This Row],[Date]],"mmmm")</f>
        <v>November</v>
      </c>
      <c r="L132" s="3" t="str">
        <f>TEXT(Table1[[#This Row],[Date]],"yyyy")</f>
        <v>2012</v>
      </c>
    </row>
    <row r="133" spans="3:12" x14ac:dyDescent="0.3">
      <c r="C133" s="1">
        <v>41219</v>
      </c>
      <c r="D133" s="2">
        <v>11.770500183105399</v>
      </c>
      <c r="E133" s="2">
        <v>11.887499809265099</v>
      </c>
      <c r="F133" s="2">
        <v>11.7224998474121</v>
      </c>
      <c r="G133" s="2">
        <v>11.8780002593994</v>
      </c>
      <c r="H133" s="2">
        <v>11.8780002593994</v>
      </c>
      <c r="I133" s="2">
        <v>53226000</v>
      </c>
      <c r="J133" s="2" t="str">
        <f>TEXT(Table1[[#This Row],[Date]],"dddd")</f>
        <v>Tuesday</v>
      </c>
      <c r="K133" s="2" t="str">
        <f>TEXT(Table1[[#This Row],[Date]],"mmmm")</f>
        <v>November</v>
      </c>
      <c r="L133" s="3" t="str">
        <f>TEXT(Table1[[#This Row],[Date]],"yyyy")</f>
        <v>2012</v>
      </c>
    </row>
    <row r="134" spans="3:12" x14ac:dyDescent="0.3">
      <c r="C134" s="4">
        <v>41220</v>
      </c>
      <c r="D134" s="5">
        <v>11.7825002670288</v>
      </c>
      <c r="E134" s="5">
        <v>11.7829999923706</v>
      </c>
      <c r="F134" s="5">
        <v>11.470999717712401</v>
      </c>
      <c r="G134" s="5">
        <v>11.602999687194799</v>
      </c>
      <c r="H134" s="5">
        <v>11.602999687194799</v>
      </c>
      <c r="I134" s="5">
        <v>72484000</v>
      </c>
      <c r="J134" s="2" t="str">
        <f>TEXT(Table1[[#This Row],[Date]],"dddd")</f>
        <v>Wednesday</v>
      </c>
      <c r="K134" s="5" t="str">
        <f>TEXT(Table1[[#This Row],[Date]],"mmmm")</f>
        <v>November</v>
      </c>
      <c r="L134" s="3" t="str">
        <f>TEXT(Table1[[#This Row],[Date]],"yyyy")</f>
        <v>2012</v>
      </c>
    </row>
    <row r="135" spans="3:12" x14ac:dyDescent="0.3">
      <c r="C135" s="1">
        <v>41221</v>
      </c>
      <c r="D135" s="2">
        <v>11.611000061035099</v>
      </c>
      <c r="E135" s="2">
        <v>11.6724996566772</v>
      </c>
      <c r="F135" s="2">
        <v>11.3549995422363</v>
      </c>
      <c r="G135" s="2">
        <v>11.3675003051757</v>
      </c>
      <c r="H135" s="2">
        <v>11.3675003051757</v>
      </c>
      <c r="I135" s="2">
        <v>59648000</v>
      </c>
      <c r="J135" s="2" t="str">
        <f>TEXT(Table1[[#This Row],[Date]],"dddd")</f>
        <v>Thursday</v>
      </c>
      <c r="K135" s="2" t="str">
        <f>TEXT(Table1[[#This Row],[Date]],"mmmm")</f>
        <v>November</v>
      </c>
      <c r="L135" s="3" t="str">
        <f>TEXT(Table1[[#This Row],[Date]],"yyyy")</f>
        <v>2012</v>
      </c>
    </row>
    <row r="136" spans="3:12" x14ac:dyDescent="0.3">
      <c r="C136" s="4">
        <v>41222</v>
      </c>
      <c r="D136" s="5">
        <v>11.312999725341699</v>
      </c>
      <c r="E136" s="5">
        <v>11.548500061035099</v>
      </c>
      <c r="F136" s="5">
        <v>11.2299995422363</v>
      </c>
      <c r="G136" s="5">
        <v>11.3155002593994</v>
      </c>
      <c r="H136" s="5">
        <v>11.3155002593994</v>
      </c>
      <c r="I136" s="5">
        <v>61850000</v>
      </c>
      <c r="J136" s="2" t="str">
        <f>TEXT(Table1[[#This Row],[Date]],"dddd")</f>
        <v>Friday</v>
      </c>
      <c r="K136" s="5" t="str">
        <f>TEXT(Table1[[#This Row],[Date]],"mmmm")</f>
        <v>November</v>
      </c>
      <c r="L136" s="3" t="str">
        <f>TEXT(Table1[[#This Row],[Date]],"yyyy")</f>
        <v>2012</v>
      </c>
    </row>
    <row r="137" spans="3:12" x14ac:dyDescent="0.3">
      <c r="C137" s="1">
        <v>41225</v>
      </c>
      <c r="D137" s="2">
        <v>11.329500198364199</v>
      </c>
      <c r="E137" s="2">
        <v>11.461000442504799</v>
      </c>
      <c r="F137" s="2">
        <v>11.270500183105399</v>
      </c>
      <c r="G137" s="2">
        <v>11.323499679565399</v>
      </c>
      <c r="H137" s="2">
        <v>11.323499679565399</v>
      </c>
      <c r="I137" s="2">
        <v>42576000</v>
      </c>
      <c r="J137" s="2" t="str">
        <f>TEXT(Table1[[#This Row],[Date]],"dddd")</f>
        <v>Monday</v>
      </c>
      <c r="K137" s="2" t="str">
        <f>TEXT(Table1[[#This Row],[Date]],"mmmm")</f>
        <v>November</v>
      </c>
      <c r="L137" s="3" t="str">
        <f>TEXT(Table1[[#This Row],[Date]],"yyyy")</f>
        <v>2012</v>
      </c>
    </row>
    <row r="138" spans="3:12" x14ac:dyDescent="0.3">
      <c r="C138" s="4">
        <v>41226</v>
      </c>
      <c r="D138" s="5">
        <v>11.255999565124499</v>
      </c>
      <c r="E138" s="5">
        <v>11.395000457763601</v>
      </c>
      <c r="F138" s="5">
        <v>11.235500335693301</v>
      </c>
      <c r="G138" s="5">
        <v>11.329999923706</v>
      </c>
      <c r="H138" s="5">
        <v>11.329999923706</v>
      </c>
      <c r="I138" s="5">
        <v>52596000</v>
      </c>
      <c r="J138" s="2" t="str">
        <f>TEXT(Table1[[#This Row],[Date]],"dddd")</f>
        <v>Tuesday</v>
      </c>
      <c r="K138" s="5" t="str">
        <f>TEXT(Table1[[#This Row],[Date]],"mmmm")</f>
        <v>November</v>
      </c>
      <c r="L138" s="3" t="str">
        <f>TEXT(Table1[[#This Row],[Date]],"yyyy")</f>
        <v>2012</v>
      </c>
    </row>
    <row r="139" spans="3:12" x14ac:dyDescent="0.3">
      <c r="C139" s="1">
        <v>41227</v>
      </c>
      <c r="D139" s="2">
        <v>11.324999809265099</v>
      </c>
      <c r="E139" s="2">
        <v>11.370499610900801</v>
      </c>
      <c r="F139" s="2">
        <v>11.125499725341699</v>
      </c>
      <c r="G139" s="2">
        <v>11.1475000381469</v>
      </c>
      <c r="H139" s="2">
        <v>11.1475000381469</v>
      </c>
      <c r="I139" s="2">
        <v>60682000</v>
      </c>
      <c r="J139" s="2" t="str">
        <f>TEXT(Table1[[#This Row],[Date]],"dddd")</f>
        <v>Wednesday</v>
      </c>
      <c r="K139" s="2" t="str">
        <f>TEXT(Table1[[#This Row],[Date]],"mmmm")</f>
        <v>November</v>
      </c>
      <c r="L139" s="3" t="str">
        <f>TEXT(Table1[[#This Row],[Date]],"yyyy")</f>
        <v>2012</v>
      </c>
    </row>
    <row r="140" spans="3:12" x14ac:dyDescent="0.3">
      <c r="C140" s="4">
        <v>41228</v>
      </c>
      <c r="D140" s="5">
        <v>11.1149997711181</v>
      </c>
      <c r="E140" s="5">
        <v>11.2580003738403</v>
      </c>
      <c r="F140" s="5">
        <v>10.9090003967285</v>
      </c>
      <c r="G140" s="5">
        <v>11.029999732971101</v>
      </c>
      <c r="H140" s="5">
        <v>11.029999732971101</v>
      </c>
      <c r="I140" s="5">
        <v>68094000</v>
      </c>
      <c r="J140" s="2" t="str">
        <f>TEXT(Table1[[#This Row],[Date]],"dddd")</f>
        <v>Thursday</v>
      </c>
      <c r="K140" s="5" t="str">
        <f>TEXT(Table1[[#This Row],[Date]],"mmmm")</f>
        <v>November</v>
      </c>
      <c r="L140" s="3" t="str">
        <f>TEXT(Table1[[#This Row],[Date]],"yyyy")</f>
        <v>2012</v>
      </c>
    </row>
    <row r="141" spans="3:12" x14ac:dyDescent="0.3">
      <c r="C141" s="1">
        <v>41229</v>
      </c>
      <c r="D141" s="2">
        <v>11.0655002593994</v>
      </c>
      <c r="E141" s="2">
        <v>11.3125</v>
      </c>
      <c r="F141" s="2">
        <v>10.9320001602172</v>
      </c>
      <c r="G141" s="2">
        <v>11.2615003585815</v>
      </c>
      <c r="H141" s="2">
        <v>11.2615003585815</v>
      </c>
      <c r="I141" s="2">
        <v>87056000</v>
      </c>
      <c r="J141" s="2" t="str">
        <f>TEXT(Table1[[#This Row],[Date]],"dddd")</f>
        <v>Friday</v>
      </c>
      <c r="K141" s="2" t="str">
        <f>TEXT(Table1[[#This Row],[Date]],"mmmm")</f>
        <v>November</v>
      </c>
      <c r="L141" s="3" t="str">
        <f>TEXT(Table1[[#This Row],[Date]],"yyyy")</f>
        <v>2012</v>
      </c>
    </row>
    <row r="142" spans="3:12" x14ac:dyDescent="0.3">
      <c r="C142" s="4">
        <v>41232</v>
      </c>
      <c r="D142" s="5">
        <v>11.4160003662109</v>
      </c>
      <c r="E142" s="5">
        <v>11.625</v>
      </c>
      <c r="F142" s="5">
        <v>11.372500419616699</v>
      </c>
      <c r="G142" s="5">
        <v>11.485500335693301</v>
      </c>
      <c r="H142" s="5">
        <v>11.485500335693301</v>
      </c>
      <c r="I142" s="5">
        <v>71824000</v>
      </c>
      <c r="J142" s="2" t="str">
        <f>TEXT(Table1[[#This Row],[Date]],"dddd")</f>
        <v>Monday</v>
      </c>
      <c r="K142" s="5" t="str">
        <f>TEXT(Table1[[#This Row],[Date]],"mmmm")</f>
        <v>November</v>
      </c>
      <c r="L142" s="3" t="str">
        <f>TEXT(Table1[[#This Row],[Date]],"yyyy")</f>
        <v>2012</v>
      </c>
    </row>
    <row r="143" spans="3:12" x14ac:dyDescent="0.3">
      <c r="C143" s="1">
        <v>41233</v>
      </c>
      <c r="D143" s="2">
        <v>11.5</v>
      </c>
      <c r="E143" s="2">
        <v>11.6909999847412</v>
      </c>
      <c r="F143" s="2">
        <v>11.4750003814697</v>
      </c>
      <c r="G143" s="2">
        <v>11.6890001296997</v>
      </c>
      <c r="H143" s="2">
        <v>11.6890001296997</v>
      </c>
      <c r="I143" s="2">
        <v>55434000</v>
      </c>
      <c r="J143" s="2" t="str">
        <f>TEXT(Table1[[#This Row],[Date]],"dddd")</f>
        <v>Tuesday</v>
      </c>
      <c r="K143" s="2" t="str">
        <f>TEXT(Table1[[#This Row],[Date]],"mmmm")</f>
        <v>November</v>
      </c>
      <c r="L143" s="3" t="str">
        <f>TEXT(Table1[[#This Row],[Date]],"yyyy")</f>
        <v>2012</v>
      </c>
    </row>
    <row r="144" spans="3:12" x14ac:dyDescent="0.3">
      <c r="C144" s="4">
        <v>41234</v>
      </c>
      <c r="D144" s="5">
        <v>11.6920003890991</v>
      </c>
      <c r="E144" s="5">
        <v>11.9335002899169</v>
      </c>
      <c r="F144" s="5">
        <v>11.637499809265099</v>
      </c>
      <c r="G144" s="5">
        <v>11.901499748229901</v>
      </c>
      <c r="H144" s="5">
        <v>11.901499748229901</v>
      </c>
      <c r="I144" s="5">
        <v>59186000</v>
      </c>
      <c r="J144" s="2" t="str">
        <f>TEXT(Table1[[#This Row],[Date]],"dddd")</f>
        <v>Wednesday</v>
      </c>
      <c r="K144" s="5" t="str">
        <f>TEXT(Table1[[#This Row],[Date]],"mmmm")</f>
        <v>November</v>
      </c>
      <c r="L144" s="3" t="str">
        <f>TEXT(Table1[[#This Row],[Date]],"yyyy")</f>
        <v>2012</v>
      </c>
    </row>
    <row r="145" spans="3:12" x14ac:dyDescent="0.3">
      <c r="C145" s="1">
        <v>41236</v>
      </c>
      <c r="D145" s="2">
        <v>11.9945001602172</v>
      </c>
      <c r="E145" s="2">
        <v>12</v>
      </c>
      <c r="F145" s="2">
        <v>11.8240003585815</v>
      </c>
      <c r="G145" s="2">
        <v>11.994000434875399</v>
      </c>
      <c r="H145" s="2">
        <v>11.994000434875399</v>
      </c>
      <c r="I145" s="2">
        <v>35536000</v>
      </c>
      <c r="J145" s="2" t="str">
        <f>TEXT(Table1[[#This Row],[Date]],"dddd")</f>
        <v>Friday</v>
      </c>
      <c r="K145" s="2" t="str">
        <f>TEXT(Table1[[#This Row],[Date]],"mmmm")</f>
        <v>November</v>
      </c>
      <c r="L145" s="3" t="str">
        <f>TEXT(Table1[[#This Row],[Date]],"yyyy")</f>
        <v>2012</v>
      </c>
    </row>
    <row r="146" spans="3:12" x14ac:dyDescent="0.3">
      <c r="C146" s="4">
        <v>41239</v>
      </c>
      <c r="D146" s="5">
        <v>12.0194997787475</v>
      </c>
      <c r="E146" s="5">
        <v>12.215999603271401</v>
      </c>
      <c r="F146" s="5">
        <v>11.899999618530201</v>
      </c>
      <c r="G146" s="5">
        <v>12.1809997558593</v>
      </c>
      <c r="H146" s="5">
        <v>12.1809997558593</v>
      </c>
      <c r="I146" s="5">
        <v>83566000</v>
      </c>
      <c r="J146" s="2" t="str">
        <f>TEXT(Table1[[#This Row],[Date]],"dddd")</f>
        <v>Monday</v>
      </c>
      <c r="K146" s="5" t="str">
        <f>TEXT(Table1[[#This Row],[Date]],"mmmm")</f>
        <v>November</v>
      </c>
      <c r="L146" s="3" t="str">
        <f>TEXT(Table1[[#This Row],[Date]],"yyyy")</f>
        <v>2012</v>
      </c>
    </row>
    <row r="147" spans="3:12" x14ac:dyDescent="0.3">
      <c r="C147" s="1">
        <v>41240</v>
      </c>
      <c r="D147" s="2">
        <v>12.16100025177</v>
      </c>
      <c r="E147" s="2">
        <v>12.283499717712401</v>
      </c>
      <c r="F147" s="2">
        <v>12.0769996643066</v>
      </c>
      <c r="G147" s="2">
        <v>12.170000076293899</v>
      </c>
      <c r="H147" s="2">
        <v>12.170000076293899</v>
      </c>
      <c r="I147" s="2">
        <v>60970000</v>
      </c>
      <c r="J147" s="2" t="str">
        <f>TEXT(Table1[[#This Row],[Date]],"dddd")</f>
        <v>Tuesday</v>
      </c>
      <c r="K147" s="2" t="str">
        <f>TEXT(Table1[[#This Row],[Date]],"mmmm")</f>
        <v>November</v>
      </c>
      <c r="L147" s="3" t="str">
        <f>TEXT(Table1[[#This Row],[Date]],"yyyy")</f>
        <v>2012</v>
      </c>
    </row>
    <row r="148" spans="3:12" x14ac:dyDescent="0.3">
      <c r="C148" s="4">
        <v>41241</v>
      </c>
      <c r="D148" s="5">
        <v>12.122500419616699</v>
      </c>
      <c r="E148" s="5">
        <v>12.3614997863769</v>
      </c>
      <c r="F148" s="5">
        <v>12.074999809265099</v>
      </c>
      <c r="G148" s="5">
        <v>12.355500221252401</v>
      </c>
      <c r="H148" s="5">
        <v>12.355500221252401</v>
      </c>
      <c r="I148" s="5">
        <v>54868000</v>
      </c>
      <c r="J148" s="2" t="str">
        <f>TEXT(Table1[[#This Row],[Date]],"dddd")</f>
        <v>Wednesday</v>
      </c>
      <c r="K148" s="5" t="str">
        <f>TEXT(Table1[[#This Row],[Date]],"mmmm")</f>
        <v>November</v>
      </c>
      <c r="L148" s="3" t="str">
        <f>TEXT(Table1[[#This Row],[Date]],"yyyy")</f>
        <v>2012</v>
      </c>
    </row>
    <row r="149" spans="3:12" x14ac:dyDescent="0.3">
      <c r="C149" s="1">
        <v>41242</v>
      </c>
      <c r="D149" s="2">
        <v>12.4025001525878</v>
      </c>
      <c r="E149" s="2">
        <v>12.623999595641999</v>
      </c>
      <c r="F149" s="2">
        <v>12.375</v>
      </c>
      <c r="G149" s="2">
        <v>12.563500404357899</v>
      </c>
      <c r="H149" s="2">
        <v>12.563500404357899</v>
      </c>
      <c r="I149" s="2">
        <v>106210000</v>
      </c>
      <c r="J149" s="2" t="str">
        <f>TEXT(Table1[[#This Row],[Date]],"dddd")</f>
        <v>Thursday</v>
      </c>
      <c r="K149" s="2" t="str">
        <f>TEXT(Table1[[#This Row],[Date]],"mmmm")</f>
        <v>November</v>
      </c>
      <c r="L149" s="3" t="str">
        <f>TEXT(Table1[[#This Row],[Date]],"yyyy")</f>
        <v>2012</v>
      </c>
    </row>
    <row r="150" spans="3:12" x14ac:dyDescent="0.3">
      <c r="C150" s="4">
        <v>41243</v>
      </c>
      <c r="D150" s="5">
        <v>12.5190000534057</v>
      </c>
      <c r="E150" s="5">
        <v>12.632499694824199</v>
      </c>
      <c r="F150" s="5">
        <v>12.413499832153301</v>
      </c>
      <c r="G150" s="5">
        <v>12.602499961853001</v>
      </c>
      <c r="H150" s="5">
        <v>12.602499961853001</v>
      </c>
      <c r="I150" s="5">
        <v>75948000</v>
      </c>
      <c r="J150" s="2" t="str">
        <f>TEXT(Table1[[#This Row],[Date]],"dddd")</f>
        <v>Friday</v>
      </c>
      <c r="K150" s="5" t="str">
        <f>TEXT(Table1[[#This Row],[Date]],"mmmm")</f>
        <v>November</v>
      </c>
      <c r="L150" s="3" t="str">
        <f>TEXT(Table1[[#This Row],[Date]],"yyyy")</f>
        <v>2012</v>
      </c>
    </row>
    <row r="151" spans="3:12" x14ac:dyDescent="0.3">
      <c r="C151" s="1">
        <v>41246</v>
      </c>
      <c r="D151" s="2">
        <v>12.6269998550415</v>
      </c>
      <c r="E151" s="2">
        <v>12.708000183105399</v>
      </c>
      <c r="F151" s="2">
        <v>12.5</v>
      </c>
      <c r="G151" s="2">
        <v>12.516500473022401</v>
      </c>
      <c r="H151" s="2">
        <v>12.516500473022401</v>
      </c>
      <c r="I151" s="2">
        <v>59812000</v>
      </c>
      <c r="J151" s="2" t="str">
        <f>TEXT(Table1[[#This Row],[Date]],"dddd")</f>
        <v>Monday</v>
      </c>
      <c r="K151" s="2" t="str">
        <f>TEXT(Table1[[#This Row],[Date]],"mmmm")</f>
        <v>December</v>
      </c>
      <c r="L151" s="3" t="str">
        <f>TEXT(Table1[[#This Row],[Date]],"yyyy")</f>
        <v>2012</v>
      </c>
    </row>
    <row r="152" spans="3:12" x14ac:dyDescent="0.3">
      <c r="C152" s="4">
        <v>41247</v>
      </c>
      <c r="D152" s="5">
        <v>12.496999740600501</v>
      </c>
      <c r="E152" s="5">
        <v>12.649999618530201</v>
      </c>
      <c r="F152" s="5">
        <v>12.432999610900801</v>
      </c>
      <c r="G152" s="5">
        <v>12.6245002746582</v>
      </c>
      <c r="H152" s="5">
        <v>12.6245002746582</v>
      </c>
      <c r="I152" s="5">
        <v>62294000</v>
      </c>
      <c r="J152" s="2" t="str">
        <f>TEXT(Table1[[#This Row],[Date]],"dddd")</f>
        <v>Tuesday</v>
      </c>
      <c r="K152" s="5" t="str">
        <f>TEXT(Table1[[#This Row],[Date]],"mmmm")</f>
        <v>December</v>
      </c>
      <c r="L152" s="3" t="str">
        <f>TEXT(Table1[[#This Row],[Date]],"yyyy")</f>
        <v>2012</v>
      </c>
    </row>
    <row r="153" spans="3:12" x14ac:dyDescent="0.3">
      <c r="C153" s="1">
        <v>41248</v>
      </c>
      <c r="D153" s="2">
        <v>12.621999740600501</v>
      </c>
      <c r="E153" s="2">
        <v>12.7775001525878</v>
      </c>
      <c r="F153" s="2">
        <v>12.5190000534057</v>
      </c>
      <c r="G153" s="2">
        <v>12.697999954223601</v>
      </c>
      <c r="H153" s="2">
        <v>12.697999954223601</v>
      </c>
      <c r="I153" s="2">
        <v>57044000</v>
      </c>
      <c r="J153" s="2" t="str">
        <f>TEXT(Table1[[#This Row],[Date]],"dddd")</f>
        <v>Wednesday</v>
      </c>
      <c r="K153" s="2" t="str">
        <f>TEXT(Table1[[#This Row],[Date]],"mmmm")</f>
        <v>December</v>
      </c>
      <c r="L153" s="3" t="str">
        <f>TEXT(Table1[[#This Row],[Date]],"yyyy")</f>
        <v>2012</v>
      </c>
    </row>
    <row r="154" spans="3:12" x14ac:dyDescent="0.3">
      <c r="C154" s="4">
        <v>41249</v>
      </c>
      <c r="D154" s="5">
        <v>12.649999618530201</v>
      </c>
      <c r="E154" s="5">
        <v>12.7585000991821</v>
      </c>
      <c r="F154" s="5">
        <v>12.5754995346069</v>
      </c>
      <c r="G154" s="5">
        <v>12.668499946594199</v>
      </c>
      <c r="H154" s="5">
        <v>12.668499946594199</v>
      </c>
      <c r="I154" s="5">
        <v>71158000</v>
      </c>
      <c r="J154" s="2" t="str">
        <f>TEXT(Table1[[#This Row],[Date]],"dddd")</f>
        <v>Thursday</v>
      </c>
      <c r="K154" s="5" t="str">
        <f>TEXT(Table1[[#This Row],[Date]],"mmmm")</f>
        <v>December</v>
      </c>
      <c r="L154" s="3" t="str">
        <f>TEXT(Table1[[#This Row],[Date]],"yyyy")</f>
        <v>2012</v>
      </c>
    </row>
    <row r="155" spans="3:12" x14ac:dyDescent="0.3">
      <c r="C155" s="1">
        <v>41250</v>
      </c>
      <c r="D155" s="2">
        <v>12.7069997787475</v>
      </c>
      <c r="E155" s="2">
        <v>12.760499954223601</v>
      </c>
      <c r="F155" s="2">
        <v>12.6005001068115</v>
      </c>
      <c r="G155" s="2">
        <v>12.663499832153301</v>
      </c>
      <c r="H155" s="2">
        <v>12.663499832153301</v>
      </c>
      <c r="I155" s="2">
        <v>43406000</v>
      </c>
      <c r="J155" s="2" t="str">
        <f>TEXT(Table1[[#This Row],[Date]],"dddd")</f>
        <v>Friday</v>
      </c>
      <c r="K155" s="2" t="str">
        <f>TEXT(Table1[[#This Row],[Date]],"mmmm")</f>
        <v>December</v>
      </c>
      <c r="L155" s="3" t="str">
        <f>TEXT(Table1[[#This Row],[Date]],"yyyy")</f>
        <v>2012</v>
      </c>
    </row>
    <row r="156" spans="3:12" x14ac:dyDescent="0.3">
      <c r="C156" s="4">
        <v>41253</v>
      </c>
      <c r="D156" s="5">
        <v>12.654999732971101</v>
      </c>
      <c r="E156" s="5">
        <v>12.739000320434499</v>
      </c>
      <c r="F156" s="5">
        <v>12.3649997711181</v>
      </c>
      <c r="G156" s="5">
        <v>12.388500213623001</v>
      </c>
      <c r="H156" s="5">
        <v>12.388500213623001</v>
      </c>
      <c r="I156" s="5">
        <v>70076000</v>
      </c>
      <c r="J156" s="2" t="str">
        <f>TEXT(Table1[[#This Row],[Date]],"dddd")</f>
        <v>Monday</v>
      </c>
      <c r="K156" s="5" t="str">
        <f>TEXT(Table1[[#This Row],[Date]],"mmmm")</f>
        <v>December</v>
      </c>
      <c r="L156" s="3" t="str">
        <f>TEXT(Table1[[#This Row],[Date]],"yyyy")</f>
        <v>2012</v>
      </c>
    </row>
    <row r="157" spans="3:12" x14ac:dyDescent="0.3">
      <c r="C157" s="1">
        <v>41254</v>
      </c>
      <c r="D157" s="2">
        <v>12.425000190734799</v>
      </c>
      <c r="E157" s="2">
        <v>12.6739997863769</v>
      </c>
      <c r="F157" s="2">
        <v>12.332500457763601</v>
      </c>
      <c r="G157" s="2">
        <v>12.5345001220703</v>
      </c>
      <c r="H157" s="2">
        <v>12.5345001220703</v>
      </c>
      <c r="I157" s="2">
        <v>83704000</v>
      </c>
      <c r="J157" s="2" t="str">
        <f>TEXT(Table1[[#This Row],[Date]],"dddd")</f>
        <v>Tuesday</v>
      </c>
      <c r="K157" s="2" t="str">
        <f>TEXT(Table1[[#This Row],[Date]],"mmmm")</f>
        <v>December</v>
      </c>
      <c r="L157" s="3" t="str">
        <f>TEXT(Table1[[#This Row],[Date]],"yyyy")</f>
        <v>2012</v>
      </c>
    </row>
    <row r="158" spans="3:12" x14ac:dyDescent="0.3">
      <c r="C158" s="4">
        <v>41255</v>
      </c>
      <c r="D158" s="5">
        <v>12.553500175476</v>
      </c>
      <c r="E158" s="5">
        <v>12.718000411987299</v>
      </c>
      <c r="F158" s="5">
        <v>12.5030002593994</v>
      </c>
      <c r="G158" s="5">
        <v>12.5880002975463</v>
      </c>
      <c r="H158" s="5">
        <v>12.5880002975463</v>
      </c>
      <c r="I158" s="5">
        <v>52562000</v>
      </c>
      <c r="J158" s="2" t="str">
        <f>TEXT(Table1[[#This Row],[Date]],"dddd")</f>
        <v>Wednesday</v>
      </c>
      <c r="K158" s="5" t="str">
        <f>TEXT(Table1[[#This Row],[Date]],"mmmm")</f>
        <v>December</v>
      </c>
      <c r="L158" s="3" t="str">
        <f>TEXT(Table1[[#This Row],[Date]],"yyyy")</f>
        <v>2012</v>
      </c>
    </row>
    <row r="159" spans="3:12" x14ac:dyDescent="0.3">
      <c r="C159" s="1">
        <v>41256</v>
      </c>
      <c r="D159" s="2">
        <v>12.5555000305175</v>
      </c>
      <c r="E159" s="2">
        <v>12.7270002365112</v>
      </c>
      <c r="F159" s="2">
        <v>12.501000404357899</v>
      </c>
      <c r="G159" s="2">
        <v>12.5625</v>
      </c>
      <c r="H159" s="2">
        <v>12.5625</v>
      </c>
      <c r="I159" s="2">
        <v>49204000</v>
      </c>
      <c r="J159" s="2" t="str">
        <f>TEXT(Table1[[#This Row],[Date]],"dddd")</f>
        <v>Thursday</v>
      </c>
      <c r="K159" s="2" t="str">
        <f>TEXT(Table1[[#This Row],[Date]],"mmmm")</f>
        <v>December</v>
      </c>
      <c r="L159" s="3" t="str">
        <f>TEXT(Table1[[#This Row],[Date]],"yyyy")</f>
        <v>2012</v>
      </c>
    </row>
    <row r="160" spans="3:12" x14ac:dyDescent="0.3">
      <c r="C160" s="4">
        <v>41257</v>
      </c>
      <c r="D160" s="5">
        <v>12.505499839782701</v>
      </c>
      <c r="E160" s="5">
        <v>12.5950002670288</v>
      </c>
      <c r="F160" s="5">
        <v>12.3894996643066</v>
      </c>
      <c r="G160" s="5">
        <v>12.459500312805099</v>
      </c>
      <c r="H160" s="5">
        <v>12.459500312805099</v>
      </c>
      <c r="I160" s="5">
        <v>50538000</v>
      </c>
      <c r="J160" s="2" t="str">
        <f>TEXT(Table1[[#This Row],[Date]],"dddd")</f>
        <v>Friday</v>
      </c>
      <c r="K160" s="5" t="str">
        <f>TEXT(Table1[[#This Row],[Date]],"mmmm")</f>
        <v>December</v>
      </c>
      <c r="L160" s="3" t="str">
        <f>TEXT(Table1[[#This Row],[Date]],"yyyy")</f>
        <v>2012</v>
      </c>
    </row>
    <row r="161" spans="3:12" x14ac:dyDescent="0.3">
      <c r="C161" s="1">
        <v>41260</v>
      </c>
      <c r="D161" s="2">
        <v>12.490500450134199</v>
      </c>
      <c r="E161" s="2">
        <v>12.699999809265099</v>
      </c>
      <c r="F161" s="2">
        <v>12.4630002975463</v>
      </c>
      <c r="G161" s="2">
        <v>12.692999839782701</v>
      </c>
      <c r="H161" s="2">
        <v>12.692999839782701</v>
      </c>
      <c r="I161" s="2">
        <v>45540000</v>
      </c>
      <c r="J161" s="2" t="str">
        <f>TEXT(Table1[[#This Row],[Date]],"dddd")</f>
        <v>Monday</v>
      </c>
      <c r="K161" s="2" t="str">
        <f>TEXT(Table1[[#This Row],[Date]],"mmmm")</f>
        <v>December</v>
      </c>
      <c r="L161" s="3" t="str">
        <f>TEXT(Table1[[#This Row],[Date]],"yyyy")</f>
        <v>2012</v>
      </c>
    </row>
    <row r="162" spans="3:12" x14ac:dyDescent="0.3">
      <c r="C162" s="4">
        <v>41261</v>
      </c>
      <c r="D162" s="5">
        <v>12.7285003662109</v>
      </c>
      <c r="E162" s="5">
        <v>13.155500411987299</v>
      </c>
      <c r="F162" s="5">
        <v>12.7285003662109</v>
      </c>
      <c r="G162" s="5">
        <v>13.020000457763601</v>
      </c>
      <c r="H162" s="5">
        <v>13.020000457763601</v>
      </c>
      <c r="I162" s="5">
        <v>99220000</v>
      </c>
      <c r="J162" s="2" t="str">
        <f>TEXT(Table1[[#This Row],[Date]],"dddd")</f>
        <v>Tuesday</v>
      </c>
      <c r="K162" s="5" t="str">
        <f>TEXT(Table1[[#This Row],[Date]],"mmmm")</f>
        <v>December</v>
      </c>
      <c r="L162" s="3" t="str">
        <f>TEXT(Table1[[#This Row],[Date]],"yyyy")</f>
        <v>2012</v>
      </c>
    </row>
    <row r="163" spans="3:12" x14ac:dyDescent="0.3">
      <c r="C163" s="1">
        <v>41262</v>
      </c>
      <c r="D163" s="2">
        <v>13.064999580383301</v>
      </c>
      <c r="E163" s="2">
        <v>13.0834999084472</v>
      </c>
      <c r="F163" s="2">
        <v>12.883999824523899</v>
      </c>
      <c r="G163" s="2">
        <v>12.8994998931884</v>
      </c>
      <c r="H163" s="2">
        <v>12.8994998931884</v>
      </c>
      <c r="I163" s="2">
        <v>46000000</v>
      </c>
      <c r="J163" s="2" t="str">
        <f>TEXT(Table1[[#This Row],[Date]],"dddd")</f>
        <v>Wednesday</v>
      </c>
      <c r="K163" s="2" t="str">
        <f>TEXT(Table1[[#This Row],[Date]],"mmmm")</f>
        <v>December</v>
      </c>
      <c r="L163" s="3" t="str">
        <f>TEXT(Table1[[#This Row],[Date]],"yyyy")</f>
        <v>2012</v>
      </c>
    </row>
    <row r="164" spans="3:12" x14ac:dyDescent="0.3">
      <c r="C164" s="4">
        <v>41263</v>
      </c>
      <c r="D164" s="5">
        <v>12.918000221252401</v>
      </c>
      <c r="E164" s="5">
        <v>13.120499610900801</v>
      </c>
      <c r="F164" s="5">
        <v>12.8269996643066</v>
      </c>
      <c r="G164" s="5">
        <v>13.074999809265099</v>
      </c>
      <c r="H164" s="5">
        <v>13.074999809265099</v>
      </c>
      <c r="I164" s="5">
        <v>51692000</v>
      </c>
      <c r="J164" s="2" t="str">
        <f>TEXT(Table1[[#This Row],[Date]],"dddd")</f>
        <v>Thursday</v>
      </c>
      <c r="K164" s="5" t="str">
        <f>TEXT(Table1[[#This Row],[Date]],"mmmm")</f>
        <v>December</v>
      </c>
      <c r="L164" s="3" t="str">
        <f>TEXT(Table1[[#This Row],[Date]],"yyyy")</f>
        <v>2012</v>
      </c>
    </row>
    <row r="165" spans="3:12" x14ac:dyDescent="0.3">
      <c r="C165" s="1">
        <v>41264</v>
      </c>
      <c r="D165" s="2">
        <v>12.8909997940063</v>
      </c>
      <c r="E165" s="2">
        <v>12.918999671936</v>
      </c>
      <c r="F165" s="2">
        <v>12.786999702453601</v>
      </c>
      <c r="G165" s="2">
        <v>12.845999717712401</v>
      </c>
      <c r="H165" s="2">
        <v>12.845999717712401</v>
      </c>
      <c r="I165" s="2">
        <v>94092000</v>
      </c>
      <c r="J165" s="2" t="str">
        <f>TEXT(Table1[[#This Row],[Date]],"dddd")</f>
        <v>Friday</v>
      </c>
      <c r="K165" s="2" t="str">
        <f>TEXT(Table1[[#This Row],[Date]],"mmmm")</f>
        <v>December</v>
      </c>
      <c r="L165" s="3" t="str">
        <f>TEXT(Table1[[#This Row],[Date]],"yyyy")</f>
        <v>2012</v>
      </c>
    </row>
    <row r="166" spans="3:12" x14ac:dyDescent="0.3">
      <c r="C166" s="4">
        <v>41267</v>
      </c>
      <c r="D166" s="5">
        <v>12.8649997711181</v>
      </c>
      <c r="E166" s="5">
        <v>12.9750003814697</v>
      </c>
      <c r="F166" s="5">
        <v>12.847999572753899</v>
      </c>
      <c r="G166" s="5">
        <v>12.9309997558593</v>
      </c>
      <c r="H166" s="5">
        <v>12.9309997558593</v>
      </c>
      <c r="I166" s="5">
        <v>19688000</v>
      </c>
      <c r="J166" s="2" t="str">
        <f>TEXT(Table1[[#This Row],[Date]],"dddd")</f>
        <v>Monday</v>
      </c>
      <c r="K166" s="5" t="str">
        <f>TEXT(Table1[[#This Row],[Date]],"mmmm")</f>
        <v>December</v>
      </c>
      <c r="L166" s="3" t="str">
        <f>TEXT(Table1[[#This Row],[Date]],"yyyy")</f>
        <v>2012</v>
      </c>
    </row>
    <row r="167" spans="3:12" x14ac:dyDescent="0.3">
      <c r="C167" s="1">
        <v>41269</v>
      </c>
      <c r="D167" s="2">
        <v>12.857500076293899</v>
      </c>
      <c r="E167" s="2">
        <v>12.8710002899169</v>
      </c>
      <c r="F167" s="2">
        <v>12.402000427246</v>
      </c>
      <c r="G167" s="2">
        <v>12.431500434875399</v>
      </c>
      <c r="H167" s="2">
        <v>12.431500434875399</v>
      </c>
      <c r="I167" s="2">
        <v>83054000</v>
      </c>
      <c r="J167" s="2" t="str">
        <f>TEXT(Table1[[#This Row],[Date]],"dddd")</f>
        <v>Wednesday</v>
      </c>
      <c r="K167" s="2" t="str">
        <f>TEXT(Table1[[#This Row],[Date]],"mmmm")</f>
        <v>December</v>
      </c>
      <c r="L167" s="3" t="str">
        <f>TEXT(Table1[[#This Row],[Date]],"yyyy")</f>
        <v>2012</v>
      </c>
    </row>
    <row r="168" spans="3:12" x14ac:dyDescent="0.3">
      <c r="C168" s="4">
        <v>41270</v>
      </c>
      <c r="D168" s="5">
        <v>12.413999557495099</v>
      </c>
      <c r="E168" s="5">
        <v>12.467499732971101</v>
      </c>
      <c r="F168" s="5">
        <v>12.1429996490478</v>
      </c>
      <c r="G168" s="5">
        <v>12.415499687194799</v>
      </c>
      <c r="H168" s="5">
        <v>12.415499687194799</v>
      </c>
      <c r="I168" s="5">
        <v>72786000</v>
      </c>
      <c r="J168" s="2" t="str">
        <f>TEXT(Table1[[#This Row],[Date]],"dddd")</f>
        <v>Thursday</v>
      </c>
      <c r="K168" s="5" t="str">
        <f>TEXT(Table1[[#This Row],[Date]],"mmmm")</f>
        <v>December</v>
      </c>
      <c r="L168" s="3" t="str">
        <f>TEXT(Table1[[#This Row],[Date]],"yyyy")</f>
        <v>2012</v>
      </c>
    </row>
    <row r="169" spans="3:12" x14ac:dyDescent="0.3">
      <c r="C169" s="1">
        <v>41271</v>
      </c>
      <c r="D169" s="2">
        <v>12.2924995422363</v>
      </c>
      <c r="E169" s="2">
        <v>12.371999740600501</v>
      </c>
      <c r="F169" s="2">
        <v>12.252499580383301</v>
      </c>
      <c r="G169" s="2">
        <v>12.258999824523899</v>
      </c>
      <c r="H169" s="2">
        <v>12.258999824523899</v>
      </c>
      <c r="I169" s="2">
        <v>37174000</v>
      </c>
      <c r="J169" s="2" t="str">
        <f>TEXT(Table1[[#This Row],[Date]],"dddd")</f>
        <v>Friday</v>
      </c>
      <c r="K169" s="2" t="str">
        <f>TEXT(Table1[[#This Row],[Date]],"mmmm")</f>
        <v>December</v>
      </c>
      <c r="L169" s="3" t="str">
        <f>TEXT(Table1[[#This Row],[Date]],"yyyy")</f>
        <v>2012</v>
      </c>
    </row>
    <row r="170" spans="3:12" x14ac:dyDescent="0.3">
      <c r="C170" s="4">
        <v>41274</v>
      </c>
      <c r="D170" s="5">
        <v>12.1875</v>
      </c>
      <c r="E170" s="5">
        <v>12.620499610900801</v>
      </c>
      <c r="F170" s="5">
        <v>12.137499809265099</v>
      </c>
      <c r="G170" s="5">
        <v>12.543499946594199</v>
      </c>
      <c r="H170" s="5">
        <v>12.543499946594199</v>
      </c>
      <c r="I170" s="5">
        <v>68380000</v>
      </c>
      <c r="J170" s="2" t="str">
        <f>TEXT(Table1[[#This Row],[Date]],"dddd")</f>
        <v>Monday</v>
      </c>
      <c r="K170" s="5" t="str">
        <f>TEXT(Table1[[#This Row],[Date]],"mmmm")</f>
        <v>December</v>
      </c>
      <c r="L170" s="3" t="str">
        <f>TEXT(Table1[[#This Row],[Date]],"yyyy")</f>
        <v>2012</v>
      </c>
    </row>
    <row r="171" spans="3:12" x14ac:dyDescent="0.3">
      <c r="C171" s="1">
        <v>41276</v>
      </c>
      <c r="D171" s="2">
        <v>12.8039999008178</v>
      </c>
      <c r="E171" s="2">
        <v>12.904999732971101</v>
      </c>
      <c r="F171" s="2">
        <v>12.6630001068115</v>
      </c>
      <c r="G171" s="2">
        <v>12.865500450134199</v>
      </c>
      <c r="H171" s="2">
        <v>12.865500450134199</v>
      </c>
      <c r="I171" s="2">
        <v>65420000</v>
      </c>
      <c r="J171" s="2" t="str">
        <f>TEXT(Table1[[#This Row],[Date]],"dddd")</f>
        <v>Wednesday</v>
      </c>
      <c r="K171" s="2" t="str">
        <f>TEXT(Table1[[#This Row],[Date]],"mmmm")</f>
        <v>January</v>
      </c>
      <c r="L171" s="3" t="str">
        <f>TEXT(Table1[[#This Row],[Date]],"yyyy")</f>
        <v>2013</v>
      </c>
    </row>
    <row r="172" spans="3:12" x14ac:dyDescent="0.3">
      <c r="C172" s="4">
        <v>41277</v>
      </c>
      <c r="D172" s="5">
        <v>12.8634996414184</v>
      </c>
      <c r="E172" s="5">
        <v>13.043999671936</v>
      </c>
      <c r="F172" s="5">
        <v>12.818499565124499</v>
      </c>
      <c r="G172" s="5">
        <v>12.9239997863769</v>
      </c>
      <c r="H172" s="5">
        <v>12.9239997863769</v>
      </c>
      <c r="I172" s="5">
        <v>55018000</v>
      </c>
      <c r="J172" s="2" t="str">
        <f>TEXT(Table1[[#This Row],[Date]],"dddd")</f>
        <v>Thursday</v>
      </c>
      <c r="K172" s="5" t="str">
        <f>TEXT(Table1[[#This Row],[Date]],"mmmm")</f>
        <v>January</v>
      </c>
      <c r="L172" s="3" t="str">
        <f>TEXT(Table1[[#This Row],[Date]],"yyyy")</f>
        <v>2013</v>
      </c>
    </row>
    <row r="173" spans="3:12" x14ac:dyDescent="0.3">
      <c r="C173" s="1">
        <v>41278</v>
      </c>
      <c r="D173" s="2">
        <v>12.878999710083001</v>
      </c>
      <c r="E173" s="2">
        <v>12.9899997711181</v>
      </c>
      <c r="F173" s="2">
        <v>12.832500457763601</v>
      </c>
      <c r="G173" s="2">
        <v>12.957500457763601</v>
      </c>
      <c r="H173" s="2">
        <v>12.957500457763601</v>
      </c>
      <c r="I173" s="2">
        <v>37484000</v>
      </c>
      <c r="J173" s="2" t="str">
        <f>TEXT(Table1[[#This Row],[Date]],"dddd")</f>
        <v>Friday</v>
      </c>
      <c r="K173" s="2" t="str">
        <f>TEXT(Table1[[#This Row],[Date]],"mmmm")</f>
        <v>January</v>
      </c>
      <c r="L173" s="3" t="str">
        <f>TEXT(Table1[[#This Row],[Date]],"yyyy")</f>
        <v>2013</v>
      </c>
    </row>
    <row r="174" spans="3:12" x14ac:dyDescent="0.3">
      <c r="C174" s="4">
        <v>41281</v>
      </c>
      <c r="D174" s="5">
        <v>13.148500442504799</v>
      </c>
      <c r="E174" s="5">
        <v>13.4864997863769</v>
      </c>
      <c r="F174" s="5">
        <v>13.1335000991821</v>
      </c>
      <c r="G174" s="5">
        <v>13.423000335693301</v>
      </c>
      <c r="H174" s="5">
        <v>13.423000335693301</v>
      </c>
      <c r="I174" s="5">
        <v>98200000</v>
      </c>
      <c r="J174" s="2" t="str">
        <f>TEXT(Table1[[#This Row],[Date]],"dddd")</f>
        <v>Monday</v>
      </c>
      <c r="K174" s="5" t="str">
        <f>TEXT(Table1[[#This Row],[Date]],"mmmm")</f>
        <v>January</v>
      </c>
      <c r="L174" s="3" t="str">
        <f>TEXT(Table1[[#This Row],[Date]],"yyyy")</f>
        <v>2013</v>
      </c>
    </row>
    <row r="175" spans="3:12" x14ac:dyDescent="0.3">
      <c r="C175" s="1">
        <v>41282</v>
      </c>
      <c r="D175" s="2">
        <v>13.3535003662109</v>
      </c>
      <c r="E175" s="2">
        <v>13.4490003585815</v>
      </c>
      <c r="F175" s="2">
        <v>13.178500175476</v>
      </c>
      <c r="G175" s="2">
        <v>13.3190002441406</v>
      </c>
      <c r="H175" s="2">
        <v>13.3190002441406</v>
      </c>
      <c r="I175" s="2">
        <v>60214000</v>
      </c>
      <c r="J175" s="2" t="str">
        <f>TEXT(Table1[[#This Row],[Date]],"dddd")</f>
        <v>Tuesday</v>
      </c>
      <c r="K175" s="2" t="str">
        <f>TEXT(Table1[[#This Row],[Date]],"mmmm")</f>
        <v>January</v>
      </c>
      <c r="L175" s="3" t="str">
        <f>TEXT(Table1[[#This Row],[Date]],"yyyy")</f>
        <v>2013</v>
      </c>
    </row>
    <row r="176" spans="3:12" x14ac:dyDescent="0.3">
      <c r="C176" s="4">
        <v>41283</v>
      </c>
      <c r="D176" s="5">
        <v>13.408499717712401</v>
      </c>
      <c r="E176" s="5">
        <v>13.4750003814697</v>
      </c>
      <c r="F176" s="5">
        <v>13.270000457763601</v>
      </c>
      <c r="G176" s="5">
        <v>13.3175001144409</v>
      </c>
      <c r="H176" s="5">
        <v>13.3175001144409</v>
      </c>
      <c r="I176" s="5">
        <v>45312000</v>
      </c>
      <c r="J176" s="2" t="str">
        <f>TEXT(Table1[[#This Row],[Date]],"dddd")</f>
        <v>Wednesday</v>
      </c>
      <c r="K176" s="5" t="str">
        <f>TEXT(Table1[[#This Row],[Date]],"mmmm")</f>
        <v>January</v>
      </c>
      <c r="L176" s="3" t="str">
        <f>TEXT(Table1[[#This Row],[Date]],"yyyy")</f>
        <v>2013</v>
      </c>
    </row>
    <row r="177" spans="3:12" x14ac:dyDescent="0.3">
      <c r="C177" s="1">
        <v>41284</v>
      </c>
      <c r="D177" s="2">
        <v>13.4270000457763</v>
      </c>
      <c r="E177" s="2">
        <v>13.4370002746582</v>
      </c>
      <c r="F177" s="2">
        <v>13.1149997711181</v>
      </c>
      <c r="G177" s="2">
        <v>13.267000198364199</v>
      </c>
      <c r="H177" s="2">
        <v>13.267000198364199</v>
      </c>
      <c r="I177" s="2">
        <v>57268000</v>
      </c>
      <c r="J177" s="2" t="str">
        <f>TEXT(Table1[[#This Row],[Date]],"dddd")</f>
        <v>Thursday</v>
      </c>
      <c r="K177" s="2" t="str">
        <f>TEXT(Table1[[#This Row],[Date]],"mmmm")</f>
        <v>January</v>
      </c>
      <c r="L177" s="3" t="str">
        <f>TEXT(Table1[[#This Row],[Date]],"yyyy")</f>
        <v>2013</v>
      </c>
    </row>
    <row r="178" spans="3:12" x14ac:dyDescent="0.3">
      <c r="C178" s="4">
        <v>41285</v>
      </c>
      <c r="D178" s="5">
        <v>13.2550001144409</v>
      </c>
      <c r="E178" s="5">
        <v>13.421500205993601</v>
      </c>
      <c r="F178" s="5">
        <v>13.2054996490478</v>
      </c>
      <c r="G178" s="5">
        <v>13.397000312805099</v>
      </c>
      <c r="H178" s="5">
        <v>13.397000312805099</v>
      </c>
      <c r="I178" s="5">
        <v>48266000</v>
      </c>
      <c r="J178" s="2" t="str">
        <f>TEXT(Table1[[#This Row],[Date]],"dddd")</f>
        <v>Friday</v>
      </c>
      <c r="K178" s="5" t="str">
        <f>TEXT(Table1[[#This Row],[Date]],"mmmm")</f>
        <v>January</v>
      </c>
      <c r="L178" s="3" t="str">
        <f>TEXT(Table1[[#This Row],[Date]],"yyyy")</f>
        <v>2013</v>
      </c>
    </row>
    <row r="179" spans="3:12" x14ac:dyDescent="0.3">
      <c r="C179" s="1">
        <v>41288</v>
      </c>
      <c r="D179" s="2">
        <v>13.399999618530201</v>
      </c>
      <c r="E179" s="2">
        <v>13.7130002975463</v>
      </c>
      <c r="F179" s="2">
        <v>13.3769998550415</v>
      </c>
      <c r="G179" s="2">
        <v>13.6365003585815</v>
      </c>
      <c r="H179" s="2">
        <v>13.6365003585815</v>
      </c>
      <c r="I179" s="2">
        <v>85500000</v>
      </c>
      <c r="J179" s="2" t="str">
        <f>TEXT(Table1[[#This Row],[Date]],"dddd")</f>
        <v>Monday</v>
      </c>
      <c r="K179" s="2" t="str">
        <f>TEXT(Table1[[#This Row],[Date]],"mmmm")</f>
        <v>January</v>
      </c>
      <c r="L179" s="3" t="str">
        <f>TEXT(Table1[[#This Row],[Date]],"yyyy")</f>
        <v>2013</v>
      </c>
    </row>
    <row r="180" spans="3:12" x14ac:dyDescent="0.3">
      <c r="C180" s="4">
        <v>41289</v>
      </c>
      <c r="D180" s="5">
        <v>13.5340003967285</v>
      </c>
      <c r="E180" s="5">
        <v>13.6365003585815</v>
      </c>
      <c r="F180" s="5">
        <v>13.4650001525878</v>
      </c>
      <c r="G180" s="5">
        <v>13.5950002670288</v>
      </c>
      <c r="H180" s="5">
        <v>13.5950002670288</v>
      </c>
      <c r="I180" s="5">
        <v>46538000</v>
      </c>
      <c r="J180" s="2" t="str">
        <f>TEXT(Table1[[#This Row],[Date]],"dddd")</f>
        <v>Tuesday</v>
      </c>
      <c r="K180" s="5" t="str">
        <f>TEXT(Table1[[#This Row],[Date]],"mmmm")</f>
        <v>January</v>
      </c>
      <c r="L180" s="3" t="str">
        <f>TEXT(Table1[[#This Row],[Date]],"yyyy")</f>
        <v>2013</v>
      </c>
    </row>
    <row r="181" spans="3:12" x14ac:dyDescent="0.3">
      <c r="C181" s="1">
        <v>41290</v>
      </c>
      <c r="D181" s="2">
        <v>13.526499748229901</v>
      </c>
      <c r="E181" s="2">
        <v>13.5620002746582</v>
      </c>
      <c r="F181" s="2">
        <v>13.391500473022401</v>
      </c>
      <c r="G181" s="2">
        <v>13.446499824523899</v>
      </c>
      <c r="H181" s="2">
        <v>13.446499824523899</v>
      </c>
      <c r="I181" s="2">
        <v>41312000</v>
      </c>
      <c r="J181" s="2" t="str">
        <f>TEXT(Table1[[#This Row],[Date]],"dddd")</f>
        <v>Wednesday</v>
      </c>
      <c r="K181" s="2" t="str">
        <f>TEXT(Table1[[#This Row],[Date]],"mmmm")</f>
        <v>January</v>
      </c>
      <c r="L181" s="3" t="str">
        <f>TEXT(Table1[[#This Row],[Date]],"yyyy")</f>
        <v>2013</v>
      </c>
    </row>
    <row r="182" spans="3:12" x14ac:dyDescent="0.3">
      <c r="C182" s="4">
        <v>41291</v>
      </c>
      <c r="D182" s="5">
        <v>13.574999809265099</v>
      </c>
      <c r="E182" s="5">
        <v>13.59850025177</v>
      </c>
      <c r="F182" s="5">
        <v>13.4604997634887</v>
      </c>
      <c r="G182" s="5">
        <v>13.5240001678466</v>
      </c>
      <c r="H182" s="5">
        <v>13.5240001678466</v>
      </c>
      <c r="I182" s="5">
        <v>37692000</v>
      </c>
      <c r="J182" s="2" t="str">
        <f>TEXT(Table1[[#This Row],[Date]],"dddd")</f>
        <v>Thursday</v>
      </c>
      <c r="K182" s="5" t="str">
        <f>TEXT(Table1[[#This Row],[Date]],"mmmm")</f>
        <v>January</v>
      </c>
      <c r="L182" s="3" t="str">
        <f>TEXT(Table1[[#This Row],[Date]],"yyyy")</f>
        <v>2013</v>
      </c>
    </row>
    <row r="183" spans="3:12" x14ac:dyDescent="0.3">
      <c r="C183" s="1">
        <v>41292</v>
      </c>
      <c r="D183" s="2">
        <v>13.541500091552701</v>
      </c>
      <c r="E183" s="2">
        <v>13.7250003814697</v>
      </c>
      <c r="F183" s="2">
        <v>13.4799995422363</v>
      </c>
      <c r="G183" s="2">
        <v>13.605999946594199</v>
      </c>
      <c r="H183" s="2">
        <v>13.605999946594199</v>
      </c>
      <c r="I183" s="2">
        <v>58840000</v>
      </c>
      <c r="J183" s="2" t="str">
        <f>TEXT(Table1[[#This Row],[Date]],"dddd")</f>
        <v>Friday</v>
      </c>
      <c r="K183" s="2" t="str">
        <f>TEXT(Table1[[#This Row],[Date]],"mmmm")</f>
        <v>January</v>
      </c>
      <c r="L183" s="3" t="str">
        <f>TEXT(Table1[[#This Row],[Date]],"yyyy")</f>
        <v>2013</v>
      </c>
    </row>
    <row r="184" spans="3:12" x14ac:dyDescent="0.3">
      <c r="C184" s="4">
        <v>41296</v>
      </c>
      <c r="D184" s="5">
        <v>13.581000328063899</v>
      </c>
      <c r="E184" s="5">
        <v>13.6049995422363</v>
      </c>
      <c r="F184" s="5">
        <v>13.4615001678466</v>
      </c>
      <c r="G184" s="5">
        <v>13.5094995498657</v>
      </c>
      <c r="H184" s="5">
        <v>13.5094995498657</v>
      </c>
      <c r="I184" s="5">
        <v>42754000</v>
      </c>
      <c r="J184" s="2" t="str">
        <f>TEXT(Table1[[#This Row],[Date]],"dddd")</f>
        <v>Tuesday</v>
      </c>
      <c r="K184" s="5" t="str">
        <f>TEXT(Table1[[#This Row],[Date]],"mmmm")</f>
        <v>January</v>
      </c>
      <c r="L184" s="3" t="str">
        <f>TEXT(Table1[[#This Row],[Date]],"yyyy")</f>
        <v>2013</v>
      </c>
    </row>
    <row r="185" spans="3:12" x14ac:dyDescent="0.3">
      <c r="C185" s="1">
        <v>41297</v>
      </c>
      <c r="D185" s="2">
        <v>13.528499603271401</v>
      </c>
      <c r="E185" s="2">
        <v>13.5544996261596</v>
      </c>
      <c r="F185" s="2">
        <v>13.332500457763601</v>
      </c>
      <c r="G185" s="2">
        <v>13.405500411987299</v>
      </c>
      <c r="H185" s="2">
        <v>13.405500411987299</v>
      </c>
      <c r="I185" s="2">
        <v>50178000</v>
      </c>
      <c r="J185" s="2" t="str">
        <f>TEXT(Table1[[#This Row],[Date]],"dddd")</f>
        <v>Wednesday</v>
      </c>
      <c r="K185" s="2" t="str">
        <f>TEXT(Table1[[#This Row],[Date]],"mmmm")</f>
        <v>January</v>
      </c>
      <c r="L185" s="3" t="str">
        <f>TEXT(Table1[[#This Row],[Date]],"yyyy")</f>
        <v>2013</v>
      </c>
    </row>
    <row r="186" spans="3:12" x14ac:dyDescent="0.3">
      <c r="C186" s="4">
        <v>41298</v>
      </c>
      <c r="D186" s="5">
        <v>13.4685001373291</v>
      </c>
      <c r="E186" s="5">
        <v>13.832500457763601</v>
      </c>
      <c r="F186" s="5">
        <v>13.4685001373291</v>
      </c>
      <c r="G186" s="5">
        <v>13.673000335693301</v>
      </c>
      <c r="H186" s="5">
        <v>13.673000335693301</v>
      </c>
      <c r="I186" s="5">
        <v>68340000</v>
      </c>
      <c r="J186" s="2" t="str">
        <f>TEXT(Table1[[#This Row],[Date]],"dddd")</f>
        <v>Thursday</v>
      </c>
      <c r="K186" s="5" t="str">
        <f>TEXT(Table1[[#This Row],[Date]],"mmmm")</f>
        <v>January</v>
      </c>
      <c r="L186" s="3" t="str">
        <f>TEXT(Table1[[#This Row],[Date]],"yyyy")</f>
        <v>2013</v>
      </c>
    </row>
    <row r="187" spans="3:12" x14ac:dyDescent="0.3">
      <c r="C187" s="1">
        <v>41299</v>
      </c>
      <c r="D187" s="2">
        <v>13.75</v>
      </c>
      <c r="E187" s="2">
        <v>14.236000061035099</v>
      </c>
      <c r="F187" s="2">
        <v>13.7200002670288</v>
      </c>
      <c r="G187" s="2">
        <v>14.199500083923301</v>
      </c>
      <c r="H187" s="2">
        <v>14.199500083923301</v>
      </c>
      <c r="I187" s="2">
        <v>99362000</v>
      </c>
      <c r="J187" s="2" t="str">
        <f>TEXT(Table1[[#This Row],[Date]],"dddd")</f>
        <v>Friday</v>
      </c>
      <c r="K187" s="2" t="str">
        <f>TEXT(Table1[[#This Row],[Date]],"mmmm")</f>
        <v>January</v>
      </c>
      <c r="L187" s="3" t="str">
        <f>TEXT(Table1[[#This Row],[Date]],"yyyy")</f>
        <v>2013</v>
      </c>
    </row>
    <row r="188" spans="3:12" x14ac:dyDescent="0.3">
      <c r="C188" s="4">
        <v>41302</v>
      </c>
      <c r="D188" s="5">
        <v>14.1890001296997</v>
      </c>
      <c r="E188" s="5">
        <v>14.2239999771118</v>
      </c>
      <c r="F188" s="5">
        <v>13.7200002670288</v>
      </c>
      <c r="G188" s="5">
        <v>13.8020000457763</v>
      </c>
      <c r="H188" s="5">
        <v>13.8020000457763</v>
      </c>
      <c r="I188" s="5">
        <v>86428000</v>
      </c>
      <c r="J188" s="2" t="str">
        <f>TEXT(Table1[[#This Row],[Date]],"dddd")</f>
        <v>Monday</v>
      </c>
      <c r="K188" s="5" t="str">
        <f>TEXT(Table1[[#This Row],[Date]],"mmmm")</f>
        <v>January</v>
      </c>
      <c r="L188" s="3" t="str">
        <f>TEXT(Table1[[#This Row],[Date]],"yyyy")</f>
        <v>2013</v>
      </c>
    </row>
    <row r="189" spans="3:12" x14ac:dyDescent="0.3">
      <c r="C189" s="1">
        <v>41303</v>
      </c>
      <c r="D189" s="2">
        <v>13.767499923706</v>
      </c>
      <c r="E189" s="2">
        <v>13.7729997634887</v>
      </c>
      <c r="F189" s="2">
        <v>12.9174995422363</v>
      </c>
      <c r="G189" s="2">
        <v>13.017499923706</v>
      </c>
      <c r="H189" s="2">
        <v>13.017499923706</v>
      </c>
      <c r="I189" s="2">
        <v>203452000</v>
      </c>
      <c r="J189" s="2" t="str">
        <f>TEXT(Table1[[#This Row],[Date]],"dddd")</f>
        <v>Tuesday</v>
      </c>
      <c r="K189" s="2" t="str">
        <f>TEXT(Table1[[#This Row],[Date]],"mmmm")</f>
        <v>January</v>
      </c>
      <c r="L189" s="3" t="str">
        <f>TEXT(Table1[[#This Row],[Date]],"yyyy")</f>
        <v>2013</v>
      </c>
    </row>
    <row r="190" spans="3:12" x14ac:dyDescent="0.3">
      <c r="C190" s="4">
        <v>41304</v>
      </c>
      <c r="D190" s="5">
        <v>14.149999618530201</v>
      </c>
      <c r="E190" s="5">
        <v>14.2100000381469</v>
      </c>
      <c r="F190" s="5">
        <v>13.355500221252401</v>
      </c>
      <c r="G190" s="5">
        <v>13.6379995346069</v>
      </c>
      <c r="H190" s="5">
        <v>13.6379995346069</v>
      </c>
      <c r="I190" s="5">
        <v>261508000</v>
      </c>
      <c r="J190" s="2" t="str">
        <f>TEXT(Table1[[#This Row],[Date]],"dddd")</f>
        <v>Wednesday</v>
      </c>
      <c r="K190" s="5" t="str">
        <f>TEXT(Table1[[#This Row],[Date]],"mmmm")</f>
        <v>January</v>
      </c>
      <c r="L190" s="3" t="str">
        <f>TEXT(Table1[[#This Row],[Date]],"yyyy")</f>
        <v>2013</v>
      </c>
    </row>
    <row r="191" spans="3:12" x14ac:dyDescent="0.3">
      <c r="C191" s="1">
        <v>41305</v>
      </c>
      <c r="D191" s="2">
        <v>13.5520000457763</v>
      </c>
      <c r="E191" s="2">
        <v>13.796999931335399</v>
      </c>
      <c r="F191" s="2">
        <v>13.185000419616699</v>
      </c>
      <c r="G191" s="2">
        <v>13.274999618530201</v>
      </c>
      <c r="H191" s="2">
        <v>13.274999618530201</v>
      </c>
      <c r="I191" s="2">
        <v>135442000</v>
      </c>
      <c r="J191" s="2" t="str">
        <f>TEXT(Table1[[#This Row],[Date]],"dddd")</f>
        <v>Thursday</v>
      </c>
      <c r="K191" s="2" t="str">
        <f>TEXT(Table1[[#This Row],[Date]],"mmmm")</f>
        <v>January</v>
      </c>
      <c r="L191" s="3" t="str">
        <f>TEXT(Table1[[#This Row],[Date]],"yyyy")</f>
        <v>2013</v>
      </c>
    </row>
    <row r="192" spans="3:12" x14ac:dyDescent="0.3">
      <c r="C192" s="4">
        <v>41306</v>
      </c>
      <c r="D192" s="5">
        <v>13.446499824523899</v>
      </c>
      <c r="E192" s="5">
        <v>13.446499824523899</v>
      </c>
      <c r="F192" s="5">
        <v>13.140000343322701</v>
      </c>
      <c r="G192" s="5">
        <v>13.25</v>
      </c>
      <c r="H192" s="5">
        <v>13.25</v>
      </c>
      <c r="I192" s="5">
        <v>122300000</v>
      </c>
      <c r="J192" s="2" t="str">
        <f>TEXT(Table1[[#This Row],[Date]],"dddd")</f>
        <v>Friday</v>
      </c>
      <c r="K192" s="5" t="str">
        <f>TEXT(Table1[[#This Row],[Date]],"mmmm")</f>
        <v>February</v>
      </c>
      <c r="L192" s="3" t="str">
        <f>TEXT(Table1[[#This Row],[Date]],"yyyy")</f>
        <v>2013</v>
      </c>
    </row>
    <row r="193" spans="3:12" x14ac:dyDescent="0.3">
      <c r="C193" s="1">
        <v>41309</v>
      </c>
      <c r="D193" s="2">
        <v>13.138999938964799</v>
      </c>
      <c r="E193" s="2">
        <v>13.234000205993601</v>
      </c>
      <c r="F193" s="2">
        <v>12.9534997940063</v>
      </c>
      <c r="G193" s="2">
        <v>12.998999595641999</v>
      </c>
      <c r="H193" s="2">
        <v>12.998999595641999</v>
      </c>
      <c r="I193" s="2">
        <v>74472000</v>
      </c>
      <c r="J193" s="2" t="str">
        <f>TEXT(Table1[[#This Row],[Date]],"dddd")</f>
        <v>Monday</v>
      </c>
      <c r="K193" s="2" t="str">
        <f>TEXT(Table1[[#This Row],[Date]],"mmmm")</f>
        <v>February</v>
      </c>
      <c r="L193" s="3" t="str">
        <f>TEXT(Table1[[#This Row],[Date]],"yyyy")</f>
        <v>2013</v>
      </c>
    </row>
    <row r="194" spans="3:12" x14ac:dyDescent="0.3">
      <c r="C194" s="4">
        <v>41310</v>
      </c>
      <c r="D194" s="5">
        <v>13.1000003814697</v>
      </c>
      <c r="E194" s="5">
        <v>13.401499748229901</v>
      </c>
      <c r="F194" s="5">
        <v>13.072999954223601</v>
      </c>
      <c r="G194" s="5">
        <v>13.344499588012599</v>
      </c>
      <c r="H194" s="5">
        <v>13.344499588012599</v>
      </c>
      <c r="I194" s="5">
        <v>80258000</v>
      </c>
      <c r="J194" s="2" t="str">
        <f>TEXT(Table1[[#This Row],[Date]],"dddd")</f>
        <v>Tuesday</v>
      </c>
      <c r="K194" s="5" t="str">
        <f>TEXT(Table1[[#This Row],[Date]],"mmmm")</f>
        <v>February</v>
      </c>
      <c r="L194" s="3" t="str">
        <f>TEXT(Table1[[#This Row],[Date]],"yyyy")</f>
        <v>2013</v>
      </c>
    </row>
    <row r="195" spans="3:12" x14ac:dyDescent="0.3">
      <c r="C195" s="1">
        <v>41311</v>
      </c>
      <c r="D195" s="2">
        <v>13.2580003738403</v>
      </c>
      <c r="E195" s="2">
        <v>13.344499588012599</v>
      </c>
      <c r="F195" s="2">
        <v>13.0555000305175</v>
      </c>
      <c r="G195" s="2">
        <v>13.111000061035099</v>
      </c>
      <c r="H195" s="2">
        <v>13.111000061035099</v>
      </c>
      <c r="I195" s="2">
        <v>55408000</v>
      </c>
      <c r="J195" s="2" t="str">
        <f>TEXT(Table1[[#This Row],[Date]],"dddd")</f>
        <v>Wednesday</v>
      </c>
      <c r="K195" s="2" t="str">
        <f>TEXT(Table1[[#This Row],[Date]],"mmmm")</f>
        <v>February</v>
      </c>
      <c r="L195" s="3" t="str">
        <f>TEXT(Table1[[#This Row],[Date]],"yyyy")</f>
        <v>2013</v>
      </c>
    </row>
    <row r="196" spans="3:12" x14ac:dyDescent="0.3">
      <c r="C196" s="4">
        <v>41312</v>
      </c>
      <c r="D196" s="5">
        <v>13.204999923706</v>
      </c>
      <c r="E196" s="5">
        <v>13.204999923706</v>
      </c>
      <c r="F196" s="5">
        <v>12.755499839782701</v>
      </c>
      <c r="G196" s="5">
        <v>13.0115003585815</v>
      </c>
      <c r="H196" s="5">
        <v>13.0115003585815</v>
      </c>
      <c r="I196" s="5">
        <v>79514000</v>
      </c>
      <c r="J196" s="2" t="str">
        <f>TEXT(Table1[[#This Row],[Date]],"dddd")</f>
        <v>Thursday</v>
      </c>
      <c r="K196" s="5" t="str">
        <f>TEXT(Table1[[#This Row],[Date]],"mmmm")</f>
        <v>February</v>
      </c>
      <c r="L196" s="3" t="str">
        <f>TEXT(Table1[[#This Row],[Date]],"yyyy")</f>
        <v>2013</v>
      </c>
    </row>
    <row r="197" spans="3:12" x14ac:dyDescent="0.3">
      <c r="C197" s="1">
        <v>41313</v>
      </c>
      <c r="D197" s="2">
        <v>13.069999694824199</v>
      </c>
      <c r="E197" s="2">
        <v>13.262499809265099</v>
      </c>
      <c r="F197" s="2">
        <v>13.0275001525878</v>
      </c>
      <c r="G197" s="2">
        <v>13.0974998474121</v>
      </c>
      <c r="H197" s="2">
        <v>13.0974998474121</v>
      </c>
      <c r="I197" s="2">
        <v>77584000</v>
      </c>
      <c r="J197" s="2" t="str">
        <f>TEXT(Table1[[#This Row],[Date]],"dddd")</f>
        <v>Friday</v>
      </c>
      <c r="K197" s="2" t="str">
        <f>TEXT(Table1[[#This Row],[Date]],"mmmm")</f>
        <v>February</v>
      </c>
      <c r="L197" s="3" t="str">
        <f>TEXT(Table1[[#This Row],[Date]],"yyyy")</f>
        <v>2013</v>
      </c>
    </row>
    <row r="198" spans="3:12" x14ac:dyDescent="0.3">
      <c r="C198" s="4">
        <v>41316</v>
      </c>
      <c r="D198" s="5">
        <v>13.1599998474121</v>
      </c>
      <c r="E198" s="5">
        <v>13.1625003814697</v>
      </c>
      <c r="F198" s="5">
        <v>12.829999923706</v>
      </c>
      <c r="G198" s="5">
        <v>12.860500335693301</v>
      </c>
      <c r="H198" s="5">
        <v>12.860500335693301</v>
      </c>
      <c r="I198" s="5">
        <v>68074000</v>
      </c>
      <c r="J198" s="2" t="str">
        <f>TEXT(Table1[[#This Row],[Date]],"dddd")</f>
        <v>Monday</v>
      </c>
      <c r="K198" s="5" t="str">
        <f>TEXT(Table1[[#This Row],[Date]],"mmmm")</f>
        <v>February</v>
      </c>
      <c r="L198" s="3" t="str">
        <f>TEXT(Table1[[#This Row],[Date]],"yyyy")</f>
        <v>2013</v>
      </c>
    </row>
    <row r="199" spans="3:12" x14ac:dyDescent="0.3">
      <c r="C199" s="1">
        <v>41317</v>
      </c>
      <c r="D199" s="2">
        <v>12.959500312805099</v>
      </c>
      <c r="E199" s="2">
        <v>13.0080003738403</v>
      </c>
      <c r="F199" s="2">
        <v>12.8500003814697</v>
      </c>
      <c r="G199" s="2">
        <v>12.935000419616699</v>
      </c>
      <c r="H199" s="2">
        <v>12.935000419616699</v>
      </c>
      <c r="I199" s="2">
        <v>58874000</v>
      </c>
      <c r="J199" s="2" t="str">
        <f>TEXT(Table1[[#This Row],[Date]],"dddd")</f>
        <v>Tuesday</v>
      </c>
      <c r="K199" s="2" t="str">
        <f>TEXT(Table1[[#This Row],[Date]],"mmmm")</f>
        <v>February</v>
      </c>
      <c r="L199" s="3" t="str">
        <f>TEXT(Table1[[#This Row],[Date]],"yyyy")</f>
        <v>2013</v>
      </c>
    </row>
    <row r="200" spans="3:12" x14ac:dyDescent="0.3">
      <c r="C200" s="4">
        <v>41318</v>
      </c>
      <c r="D200" s="5">
        <v>13.076499938964799</v>
      </c>
      <c r="E200" s="5">
        <v>13.4980001449584</v>
      </c>
      <c r="F200" s="5">
        <v>13.015000343322701</v>
      </c>
      <c r="G200" s="5">
        <v>13.47350025177</v>
      </c>
      <c r="H200" s="5">
        <v>13.47350025177</v>
      </c>
      <c r="I200" s="5">
        <v>105860000</v>
      </c>
      <c r="J200" s="2" t="str">
        <f>TEXT(Table1[[#This Row],[Date]],"dddd")</f>
        <v>Wednesday</v>
      </c>
      <c r="K200" s="5" t="str">
        <f>TEXT(Table1[[#This Row],[Date]],"mmmm")</f>
        <v>February</v>
      </c>
      <c r="L200" s="3" t="str">
        <f>TEXT(Table1[[#This Row],[Date]],"yyyy")</f>
        <v>2013</v>
      </c>
    </row>
    <row r="201" spans="3:12" x14ac:dyDescent="0.3">
      <c r="C201" s="1">
        <v>41319</v>
      </c>
      <c r="D201" s="2">
        <v>13.3684997558593</v>
      </c>
      <c r="E201" s="2">
        <v>13.5325002670288</v>
      </c>
      <c r="F201" s="2">
        <v>13.270000457763601</v>
      </c>
      <c r="G201" s="2">
        <v>13.4619998931884</v>
      </c>
      <c r="H201" s="2">
        <v>13.4619998931884</v>
      </c>
      <c r="I201" s="2">
        <v>69260000</v>
      </c>
      <c r="J201" s="2" t="str">
        <f>TEXT(Table1[[#This Row],[Date]],"dddd")</f>
        <v>Thursday</v>
      </c>
      <c r="K201" s="2" t="str">
        <f>TEXT(Table1[[#This Row],[Date]],"mmmm")</f>
        <v>February</v>
      </c>
      <c r="L201" s="3" t="str">
        <f>TEXT(Table1[[#This Row],[Date]],"yyyy")</f>
        <v>2013</v>
      </c>
    </row>
    <row r="202" spans="3:12" x14ac:dyDescent="0.3">
      <c r="C202" s="4">
        <v>41320</v>
      </c>
      <c r="D202" s="5">
        <v>13.3815002441406</v>
      </c>
      <c r="E202" s="5">
        <v>13.4460000991821</v>
      </c>
      <c r="F202" s="5">
        <v>13.155500411987299</v>
      </c>
      <c r="G202" s="5">
        <v>13.2545003890991</v>
      </c>
      <c r="H202" s="5">
        <v>13.2545003890991</v>
      </c>
      <c r="I202" s="5">
        <v>79598000</v>
      </c>
      <c r="J202" s="2" t="str">
        <f>TEXT(Table1[[#This Row],[Date]],"dddd")</f>
        <v>Friday</v>
      </c>
      <c r="K202" s="5" t="str">
        <f>TEXT(Table1[[#This Row],[Date]],"mmmm")</f>
        <v>February</v>
      </c>
      <c r="L202" s="3" t="str">
        <f>TEXT(Table1[[#This Row],[Date]],"yyyy")</f>
        <v>2013</v>
      </c>
    </row>
    <row r="203" spans="3:12" x14ac:dyDescent="0.3">
      <c r="C203" s="1">
        <v>41324</v>
      </c>
      <c r="D203" s="2">
        <v>13.2954998016357</v>
      </c>
      <c r="E203" s="2">
        <v>13.505499839782701</v>
      </c>
      <c r="F203" s="2">
        <v>13.2250003814697</v>
      </c>
      <c r="G203" s="2">
        <v>13.487500190734799</v>
      </c>
      <c r="H203" s="2">
        <v>13.487500190734799</v>
      </c>
      <c r="I203" s="2">
        <v>57084000</v>
      </c>
      <c r="J203" s="2" t="str">
        <f>TEXT(Table1[[#This Row],[Date]],"dddd")</f>
        <v>Tuesday</v>
      </c>
      <c r="K203" s="2" t="str">
        <f>TEXT(Table1[[#This Row],[Date]],"mmmm")</f>
        <v>February</v>
      </c>
      <c r="L203" s="3" t="str">
        <f>TEXT(Table1[[#This Row],[Date]],"yyyy")</f>
        <v>2013</v>
      </c>
    </row>
    <row r="204" spans="3:12" x14ac:dyDescent="0.3">
      <c r="C204" s="4">
        <v>41325</v>
      </c>
      <c r="D204" s="5">
        <v>13.5100002288818</v>
      </c>
      <c r="E204" s="5">
        <v>13.7150001525878</v>
      </c>
      <c r="F204" s="5">
        <v>13.318499565124499</v>
      </c>
      <c r="G204" s="5">
        <v>13.3205003738403</v>
      </c>
      <c r="H204" s="5">
        <v>13.3205003738403</v>
      </c>
      <c r="I204" s="5">
        <v>70578000</v>
      </c>
      <c r="J204" s="2" t="str">
        <f>TEXT(Table1[[#This Row],[Date]],"dddd")</f>
        <v>Wednesday</v>
      </c>
      <c r="K204" s="5" t="str">
        <f>TEXT(Table1[[#This Row],[Date]],"mmmm")</f>
        <v>February</v>
      </c>
      <c r="L204" s="3" t="str">
        <f>TEXT(Table1[[#This Row],[Date]],"yyyy")</f>
        <v>2013</v>
      </c>
    </row>
    <row r="205" spans="3:12" x14ac:dyDescent="0.3">
      <c r="C205" s="1">
        <v>41326</v>
      </c>
      <c r="D205" s="2">
        <v>13.255999565124499</v>
      </c>
      <c r="E205" s="2">
        <v>13.4739999771118</v>
      </c>
      <c r="F205" s="2">
        <v>13.1625003814697</v>
      </c>
      <c r="G205" s="2">
        <v>13.296999931335399</v>
      </c>
      <c r="H205" s="2">
        <v>13.296999931335399</v>
      </c>
      <c r="I205" s="2">
        <v>72748000</v>
      </c>
      <c r="J205" s="2" t="str">
        <f>TEXT(Table1[[#This Row],[Date]],"dddd")</f>
        <v>Thursday</v>
      </c>
      <c r="K205" s="2" t="str">
        <f>TEXT(Table1[[#This Row],[Date]],"mmmm")</f>
        <v>February</v>
      </c>
      <c r="L205" s="3" t="str">
        <f>TEXT(Table1[[#This Row],[Date]],"yyyy")</f>
        <v>2013</v>
      </c>
    </row>
    <row r="206" spans="3:12" x14ac:dyDescent="0.3">
      <c r="C206" s="4">
        <v>41327</v>
      </c>
      <c r="D206" s="5">
        <v>13.331000328063899</v>
      </c>
      <c r="E206" s="5">
        <v>13.355500221252401</v>
      </c>
      <c r="F206" s="5">
        <v>13.0804996490478</v>
      </c>
      <c r="G206" s="5">
        <v>13.2709999084472</v>
      </c>
      <c r="H206" s="5">
        <v>13.2709999084472</v>
      </c>
      <c r="I206" s="5">
        <v>62496000</v>
      </c>
      <c r="J206" s="2" t="str">
        <f>TEXT(Table1[[#This Row],[Date]],"dddd")</f>
        <v>Friday</v>
      </c>
      <c r="K206" s="5" t="str">
        <f>TEXT(Table1[[#This Row],[Date]],"mmmm")</f>
        <v>February</v>
      </c>
      <c r="L206" s="3" t="str">
        <f>TEXT(Table1[[#This Row],[Date]],"yyyy")</f>
        <v>2013</v>
      </c>
    </row>
    <row r="207" spans="3:12" x14ac:dyDescent="0.3">
      <c r="C207" s="1">
        <v>41330</v>
      </c>
      <c r="D207" s="2">
        <v>13.3470001220703</v>
      </c>
      <c r="E207" s="2">
        <v>13.434499740600501</v>
      </c>
      <c r="F207" s="2">
        <v>12.982500076293899</v>
      </c>
      <c r="G207" s="2">
        <v>12.9934997558593</v>
      </c>
      <c r="H207" s="2">
        <v>12.9934997558593</v>
      </c>
      <c r="I207" s="2">
        <v>60648000</v>
      </c>
      <c r="J207" s="2" t="str">
        <f>TEXT(Table1[[#This Row],[Date]],"dddd")</f>
        <v>Monday</v>
      </c>
      <c r="K207" s="2" t="str">
        <f>TEXT(Table1[[#This Row],[Date]],"mmmm")</f>
        <v>February</v>
      </c>
      <c r="L207" s="3" t="str">
        <f>TEXT(Table1[[#This Row],[Date]],"yyyy")</f>
        <v>2013</v>
      </c>
    </row>
    <row r="208" spans="3:12" x14ac:dyDescent="0.3">
      <c r="C208" s="4">
        <v>41331</v>
      </c>
      <c r="D208" s="5">
        <v>13.0445003509521</v>
      </c>
      <c r="E208" s="5">
        <v>13.1020002365112</v>
      </c>
      <c r="F208" s="5">
        <v>12.7864999771118</v>
      </c>
      <c r="G208" s="5">
        <v>12.968000411987299</v>
      </c>
      <c r="H208" s="5">
        <v>12.968000411987299</v>
      </c>
      <c r="I208" s="5">
        <v>66972000</v>
      </c>
      <c r="J208" s="2" t="str">
        <f>TEXT(Table1[[#This Row],[Date]],"dddd")</f>
        <v>Tuesday</v>
      </c>
      <c r="K208" s="5" t="str">
        <f>TEXT(Table1[[#This Row],[Date]],"mmmm")</f>
        <v>February</v>
      </c>
      <c r="L208" s="3" t="str">
        <f>TEXT(Table1[[#This Row],[Date]],"yyyy")</f>
        <v>2013</v>
      </c>
    </row>
    <row r="209" spans="3:12" x14ac:dyDescent="0.3">
      <c r="C209" s="1">
        <v>41332</v>
      </c>
      <c r="D209" s="2">
        <v>12.9700002670288</v>
      </c>
      <c r="E209" s="2">
        <v>13.291500091552701</v>
      </c>
      <c r="F209" s="2">
        <v>12.843000411987299</v>
      </c>
      <c r="G209" s="2">
        <v>13.1625003814697</v>
      </c>
      <c r="H209" s="2">
        <v>13.1625003814697</v>
      </c>
      <c r="I209" s="2">
        <v>58162000</v>
      </c>
      <c r="J209" s="2" t="str">
        <f>TEXT(Table1[[#This Row],[Date]],"dddd")</f>
        <v>Wednesday</v>
      </c>
      <c r="K209" s="2" t="str">
        <f>TEXT(Table1[[#This Row],[Date]],"mmmm")</f>
        <v>February</v>
      </c>
      <c r="L209" s="3" t="str">
        <f>TEXT(Table1[[#This Row],[Date]],"yyyy")</f>
        <v>2013</v>
      </c>
    </row>
    <row r="210" spans="3:12" x14ac:dyDescent="0.3">
      <c r="C210" s="4">
        <v>41333</v>
      </c>
      <c r="D210" s="5">
        <v>13.0904998779296</v>
      </c>
      <c r="E210" s="5">
        <v>13.3500003814697</v>
      </c>
      <c r="F210" s="5">
        <v>13.031499862670801</v>
      </c>
      <c r="G210" s="5">
        <v>13.2135000228881</v>
      </c>
      <c r="H210" s="5">
        <v>13.2135000228881</v>
      </c>
      <c r="I210" s="5">
        <v>53344000</v>
      </c>
      <c r="J210" s="2" t="str">
        <f>TEXT(Table1[[#This Row],[Date]],"dddd")</f>
        <v>Thursday</v>
      </c>
      <c r="K210" s="5" t="str">
        <f>TEXT(Table1[[#This Row],[Date]],"mmmm")</f>
        <v>February</v>
      </c>
      <c r="L210" s="3" t="str">
        <f>TEXT(Table1[[#This Row],[Date]],"yyyy")</f>
        <v>2013</v>
      </c>
    </row>
    <row r="211" spans="3:12" x14ac:dyDescent="0.3">
      <c r="C211" s="1">
        <v>41334</v>
      </c>
      <c r="D211" s="2">
        <v>13.163499832153301</v>
      </c>
      <c r="E211" s="2">
        <v>13.329999923706</v>
      </c>
      <c r="F211" s="2">
        <v>13.0520000457763</v>
      </c>
      <c r="G211" s="2">
        <v>13.286999702453601</v>
      </c>
      <c r="H211" s="2">
        <v>13.286999702453601</v>
      </c>
      <c r="I211" s="2">
        <v>59140000</v>
      </c>
      <c r="J211" s="2" t="str">
        <f>TEXT(Table1[[#This Row],[Date]],"dddd")</f>
        <v>Friday</v>
      </c>
      <c r="K211" s="2" t="str">
        <f>TEXT(Table1[[#This Row],[Date]],"mmmm")</f>
        <v>March</v>
      </c>
      <c r="L211" s="3" t="str">
        <f>TEXT(Table1[[#This Row],[Date]],"yyyy")</f>
        <v>2013</v>
      </c>
    </row>
    <row r="212" spans="3:12" x14ac:dyDescent="0.3">
      <c r="C212" s="4">
        <v>41337</v>
      </c>
      <c r="D212" s="5">
        <v>13.2679996490478</v>
      </c>
      <c r="E212" s="5">
        <v>13.664999961853001</v>
      </c>
      <c r="F212" s="5">
        <v>13.2069997787475</v>
      </c>
      <c r="G212" s="5">
        <v>13.655500411987299</v>
      </c>
      <c r="H212" s="5">
        <v>13.655500411987299</v>
      </c>
      <c r="I212" s="5">
        <v>69060000</v>
      </c>
      <c r="J212" s="2" t="str">
        <f>TEXT(Table1[[#This Row],[Date]],"dddd")</f>
        <v>Monday</v>
      </c>
      <c r="K212" s="5" t="str">
        <f>TEXT(Table1[[#This Row],[Date]],"mmmm")</f>
        <v>March</v>
      </c>
      <c r="L212" s="3" t="str">
        <f>TEXT(Table1[[#This Row],[Date]],"yyyy")</f>
        <v>2013</v>
      </c>
    </row>
    <row r="213" spans="3:12" x14ac:dyDescent="0.3">
      <c r="C213" s="1">
        <v>41338</v>
      </c>
      <c r="D213" s="2">
        <v>13.699999809265099</v>
      </c>
      <c r="E213" s="2">
        <v>13.833999633789</v>
      </c>
      <c r="F213" s="2">
        <v>13.4995002746582</v>
      </c>
      <c r="G213" s="2">
        <v>13.7795000076293</v>
      </c>
      <c r="H213" s="2">
        <v>13.7795000076293</v>
      </c>
      <c r="I213" s="2">
        <v>73724000</v>
      </c>
      <c r="J213" s="2" t="str">
        <f>TEXT(Table1[[#This Row],[Date]],"dddd")</f>
        <v>Tuesday</v>
      </c>
      <c r="K213" s="2" t="str">
        <f>TEXT(Table1[[#This Row],[Date]],"mmmm")</f>
        <v>March</v>
      </c>
      <c r="L213" s="3" t="str">
        <f>TEXT(Table1[[#This Row],[Date]],"yyyy")</f>
        <v>2013</v>
      </c>
    </row>
    <row r="214" spans="3:12" x14ac:dyDescent="0.3">
      <c r="C214" s="4">
        <v>41339</v>
      </c>
      <c r="D214" s="5">
        <v>13.7880001068115</v>
      </c>
      <c r="E214" s="5">
        <v>13.824500083923301</v>
      </c>
      <c r="F214" s="5">
        <v>13.5915002822875</v>
      </c>
      <c r="G214" s="5">
        <v>13.6894998550415</v>
      </c>
      <c r="H214" s="5">
        <v>13.6894998550415</v>
      </c>
      <c r="I214" s="5">
        <v>41014000</v>
      </c>
      <c r="J214" s="2" t="str">
        <f>TEXT(Table1[[#This Row],[Date]],"dddd")</f>
        <v>Wednesday</v>
      </c>
      <c r="K214" s="5" t="str">
        <f>TEXT(Table1[[#This Row],[Date]],"mmmm")</f>
        <v>March</v>
      </c>
      <c r="L214" s="3" t="str">
        <f>TEXT(Table1[[#This Row],[Date]],"yyyy")</f>
        <v>2013</v>
      </c>
    </row>
    <row r="215" spans="3:12" x14ac:dyDescent="0.3">
      <c r="C215" s="1">
        <v>41340</v>
      </c>
      <c r="D215" s="2">
        <v>13.704999923706</v>
      </c>
      <c r="E215" s="2">
        <v>13.7399997711181</v>
      </c>
      <c r="F215" s="2">
        <v>13.592499732971101</v>
      </c>
      <c r="G215" s="2">
        <v>13.6940002441406</v>
      </c>
      <c r="H215" s="2">
        <v>13.6940002441406</v>
      </c>
      <c r="I215" s="2">
        <v>38780000</v>
      </c>
      <c r="J215" s="2" t="str">
        <f>TEXT(Table1[[#This Row],[Date]],"dddd")</f>
        <v>Thursday</v>
      </c>
      <c r="K215" s="2" t="str">
        <f>TEXT(Table1[[#This Row],[Date]],"mmmm")</f>
        <v>March</v>
      </c>
      <c r="L215" s="3" t="str">
        <f>TEXT(Table1[[#This Row],[Date]],"yyyy")</f>
        <v>2013</v>
      </c>
    </row>
    <row r="216" spans="3:12" x14ac:dyDescent="0.3">
      <c r="C216" s="4">
        <v>41341</v>
      </c>
      <c r="D216" s="5">
        <v>13.75</v>
      </c>
      <c r="E216" s="5">
        <v>13.772000312805099</v>
      </c>
      <c r="F216" s="5">
        <v>13.574999809265099</v>
      </c>
      <c r="G216" s="5">
        <v>13.709500312805099</v>
      </c>
      <c r="H216" s="5">
        <v>13.709500312805099</v>
      </c>
      <c r="I216" s="5">
        <v>37596000</v>
      </c>
      <c r="J216" s="2" t="str">
        <f>TEXT(Table1[[#This Row],[Date]],"dddd")</f>
        <v>Friday</v>
      </c>
      <c r="K216" s="5" t="str">
        <f>TEXT(Table1[[#This Row],[Date]],"mmmm")</f>
        <v>March</v>
      </c>
      <c r="L216" s="3" t="str">
        <f>TEXT(Table1[[#This Row],[Date]],"yyyy")</f>
        <v>2013</v>
      </c>
    </row>
    <row r="217" spans="3:12" x14ac:dyDescent="0.3">
      <c r="C217" s="1">
        <v>41344</v>
      </c>
      <c r="D217" s="2">
        <v>13.671500205993601</v>
      </c>
      <c r="E217" s="2">
        <v>13.699500083923301</v>
      </c>
      <c r="F217" s="2">
        <v>13.520000457763601</v>
      </c>
      <c r="G217" s="2">
        <v>13.5620002746582</v>
      </c>
      <c r="H217" s="2">
        <v>13.5620002746582</v>
      </c>
      <c r="I217" s="2">
        <v>38098000</v>
      </c>
      <c r="J217" s="2" t="str">
        <f>TEXT(Table1[[#This Row],[Date]],"dddd")</f>
        <v>Monday</v>
      </c>
      <c r="K217" s="2" t="str">
        <f>TEXT(Table1[[#This Row],[Date]],"mmmm")</f>
        <v>March</v>
      </c>
      <c r="L217" s="3" t="str">
        <f>TEXT(Table1[[#This Row],[Date]],"yyyy")</f>
        <v>2013</v>
      </c>
    </row>
    <row r="218" spans="3:12" x14ac:dyDescent="0.3">
      <c r="C218" s="4">
        <v>41345</v>
      </c>
      <c r="D218" s="5">
        <v>13.550000190734799</v>
      </c>
      <c r="E218" s="5">
        <v>13.869999885559</v>
      </c>
      <c r="F218" s="5">
        <v>13.5179996490478</v>
      </c>
      <c r="G218" s="5">
        <v>13.7065000534057</v>
      </c>
      <c r="H218" s="5">
        <v>13.7065000534057</v>
      </c>
      <c r="I218" s="5">
        <v>64924000</v>
      </c>
      <c r="J218" s="2" t="str">
        <f>TEXT(Table1[[#This Row],[Date]],"dddd")</f>
        <v>Tuesday</v>
      </c>
      <c r="K218" s="5" t="str">
        <f>TEXT(Table1[[#This Row],[Date]],"mmmm")</f>
        <v>March</v>
      </c>
      <c r="L218" s="3" t="str">
        <f>TEXT(Table1[[#This Row],[Date]],"yyyy")</f>
        <v>2013</v>
      </c>
    </row>
    <row r="219" spans="3:12" x14ac:dyDescent="0.3">
      <c r="C219" s="1">
        <v>41346</v>
      </c>
      <c r="D219" s="2">
        <v>13.762000083923301</v>
      </c>
      <c r="E219" s="2">
        <v>13.824999809265099</v>
      </c>
      <c r="F219" s="2">
        <v>13.631999969482401</v>
      </c>
      <c r="G219" s="2">
        <v>13.7550001144409</v>
      </c>
      <c r="H219" s="2">
        <v>13.7550001144409</v>
      </c>
      <c r="I219" s="2">
        <v>37684000</v>
      </c>
      <c r="J219" s="2" t="str">
        <f>TEXT(Table1[[#This Row],[Date]],"dddd")</f>
        <v>Wednesday</v>
      </c>
      <c r="K219" s="2" t="str">
        <f>TEXT(Table1[[#This Row],[Date]],"mmmm")</f>
        <v>March</v>
      </c>
      <c r="L219" s="3" t="str">
        <f>TEXT(Table1[[#This Row],[Date]],"yyyy")</f>
        <v>2013</v>
      </c>
    </row>
    <row r="220" spans="3:12" x14ac:dyDescent="0.3">
      <c r="C220" s="4">
        <v>41347</v>
      </c>
      <c r="D220" s="5">
        <v>13.4834995269775</v>
      </c>
      <c r="E220" s="5">
        <v>13.5</v>
      </c>
      <c r="F220" s="5">
        <v>13.176500320434499</v>
      </c>
      <c r="G220" s="5">
        <v>13.286999702453601</v>
      </c>
      <c r="H220" s="5">
        <v>13.286999702453601</v>
      </c>
      <c r="I220" s="5">
        <v>104534000</v>
      </c>
      <c r="J220" s="2" t="str">
        <f>TEXT(Table1[[#This Row],[Date]],"dddd")</f>
        <v>Thursday</v>
      </c>
      <c r="K220" s="5" t="str">
        <f>TEXT(Table1[[#This Row],[Date]],"mmmm")</f>
        <v>March</v>
      </c>
      <c r="L220" s="3" t="str">
        <f>TEXT(Table1[[#This Row],[Date]],"yyyy")</f>
        <v>2013</v>
      </c>
    </row>
    <row r="221" spans="3:12" x14ac:dyDescent="0.3">
      <c r="C221" s="1">
        <v>41348</v>
      </c>
      <c r="D221" s="2">
        <v>13.248999595641999</v>
      </c>
      <c r="E221" s="2">
        <v>13.3629999160766</v>
      </c>
      <c r="F221" s="2">
        <v>13.002499580383301</v>
      </c>
      <c r="G221" s="2">
        <v>13.090999603271401</v>
      </c>
      <c r="H221" s="2">
        <v>13.090999603271401</v>
      </c>
      <c r="I221" s="2">
        <v>97318000</v>
      </c>
      <c r="J221" s="2" t="str">
        <f>TEXT(Table1[[#This Row],[Date]],"dddd")</f>
        <v>Friday</v>
      </c>
      <c r="K221" s="2" t="str">
        <f>TEXT(Table1[[#This Row],[Date]],"mmmm")</f>
        <v>March</v>
      </c>
      <c r="L221" s="3" t="str">
        <f>TEXT(Table1[[#This Row],[Date]],"yyyy")</f>
        <v>2013</v>
      </c>
    </row>
    <row r="222" spans="3:12" x14ac:dyDescent="0.3">
      <c r="C222" s="4">
        <v>41351</v>
      </c>
      <c r="D222" s="5">
        <v>12.9650001525878</v>
      </c>
      <c r="E222" s="5">
        <v>13.074500083923301</v>
      </c>
      <c r="F222" s="5">
        <v>12.855999946594199</v>
      </c>
      <c r="G222" s="5">
        <v>12.8944997787475</v>
      </c>
      <c r="H222" s="5">
        <v>12.8944997787475</v>
      </c>
      <c r="I222" s="5">
        <v>54404000</v>
      </c>
      <c r="J222" s="2" t="str">
        <f>TEXT(Table1[[#This Row],[Date]],"dddd")</f>
        <v>Monday</v>
      </c>
      <c r="K222" s="5" t="str">
        <f>TEXT(Table1[[#This Row],[Date]],"mmmm")</f>
        <v>March</v>
      </c>
      <c r="L222" s="3" t="str">
        <f>TEXT(Table1[[#This Row],[Date]],"yyyy")</f>
        <v>2013</v>
      </c>
    </row>
    <row r="223" spans="3:12" x14ac:dyDescent="0.3">
      <c r="C223" s="1">
        <v>41352</v>
      </c>
      <c r="D223" s="2">
        <v>12.920000076293899</v>
      </c>
      <c r="E223" s="2">
        <v>12.9750003814697</v>
      </c>
      <c r="F223" s="2">
        <v>12.630999565124499</v>
      </c>
      <c r="G223" s="2">
        <v>12.8205003738403</v>
      </c>
      <c r="H223" s="2">
        <v>12.8205003738403</v>
      </c>
      <c r="I223" s="2">
        <v>74770000</v>
      </c>
      <c r="J223" s="2" t="str">
        <f>TEXT(Table1[[#This Row],[Date]],"dddd")</f>
        <v>Tuesday</v>
      </c>
      <c r="K223" s="2" t="str">
        <f>TEXT(Table1[[#This Row],[Date]],"mmmm")</f>
        <v>March</v>
      </c>
      <c r="L223" s="3" t="str">
        <f>TEXT(Table1[[#This Row],[Date]],"yyyy")</f>
        <v>2013</v>
      </c>
    </row>
    <row r="224" spans="3:12" x14ac:dyDescent="0.3">
      <c r="C224" s="4">
        <v>41353</v>
      </c>
      <c r="D224" s="5">
        <v>12.9025001525878</v>
      </c>
      <c r="E224" s="5">
        <v>12.9879999160766</v>
      </c>
      <c r="F224" s="5">
        <v>12.727499961853001</v>
      </c>
      <c r="G224" s="5">
        <v>12.864000320434499</v>
      </c>
      <c r="H224" s="5">
        <v>12.864000320434499</v>
      </c>
      <c r="I224" s="5">
        <v>54778000</v>
      </c>
      <c r="J224" s="2" t="str">
        <f>TEXT(Table1[[#This Row],[Date]],"dddd")</f>
        <v>Wednesday</v>
      </c>
      <c r="K224" s="5" t="str">
        <f>TEXT(Table1[[#This Row],[Date]],"mmmm")</f>
        <v>March</v>
      </c>
      <c r="L224" s="3" t="str">
        <f>TEXT(Table1[[#This Row],[Date]],"yyyy")</f>
        <v>2013</v>
      </c>
    </row>
    <row r="225" spans="3:12" x14ac:dyDescent="0.3">
      <c r="C225" s="1">
        <v>41354</v>
      </c>
      <c r="D225" s="2">
        <v>12.8055000305175</v>
      </c>
      <c r="E225" s="2">
        <v>12.8500003814697</v>
      </c>
      <c r="F225" s="2">
        <v>12.633999824523899</v>
      </c>
      <c r="G225" s="2">
        <v>12.6695003509521</v>
      </c>
      <c r="H225" s="2">
        <v>12.6695003509521</v>
      </c>
      <c r="I225" s="2">
        <v>56128000</v>
      </c>
      <c r="J225" s="2" t="str">
        <f>TEXT(Table1[[#This Row],[Date]],"dddd")</f>
        <v>Thursday</v>
      </c>
      <c r="K225" s="2" t="str">
        <f>TEXT(Table1[[#This Row],[Date]],"mmmm")</f>
        <v>March</v>
      </c>
      <c r="L225" s="3" t="str">
        <f>TEXT(Table1[[#This Row],[Date]],"yyyy")</f>
        <v>2013</v>
      </c>
    </row>
    <row r="226" spans="3:12" x14ac:dyDescent="0.3">
      <c r="C226" s="4">
        <v>41355</v>
      </c>
      <c r="D226" s="5">
        <v>12.727499961853001</v>
      </c>
      <c r="E226" s="5">
        <v>12.888500213623001</v>
      </c>
      <c r="F226" s="5">
        <v>12.6035003662109</v>
      </c>
      <c r="G226" s="5">
        <v>12.887499809265099</v>
      </c>
      <c r="H226" s="5">
        <v>12.887499809265099</v>
      </c>
      <c r="I226" s="5">
        <v>62492000</v>
      </c>
      <c r="J226" s="2" t="str">
        <f>TEXT(Table1[[#This Row],[Date]],"dddd")</f>
        <v>Friday</v>
      </c>
      <c r="K226" s="5" t="str">
        <f>TEXT(Table1[[#This Row],[Date]],"mmmm")</f>
        <v>March</v>
      </c>
      <c r="L226" s="3" t="str">
        <f>TEXT(Table1[[#This Row],[Date]],"yyyy")</f>
        <v>2013</v>
      </c>
    </row>
    <row r="227" spans="3:12" x14ac:dyDescent="0.3">
      <c r="C227" s="1">
        <v>41358</v>
      </c>
      <c r="D227" s="2">
        <v>12.9289999008178</v>
      </c>
      <c r="E227" s="2">
        <v>12.9715003967285</v>
      </c>
      <c r="F227" s="2">
        <v>12.7250003814697</v>
      </c>
      <c r="G227" s="2">
        <v>12.8009996414184</v>
      </c>
      <c r="H227" s="2">
        <v>12.8009996414184</v>
      </c>
      <c r="I227" s="2">
        <v>50278000</v>
      </c>
      <c r="J227" s="2" t="str">
        <f>TEXT(Table1[[#This Row],[Date]],"dddd")</f>
        <v>Monday</v>
      </c>
      <c r="K227" s="2" t="str">
        <f>TEXT(Table1[[#This Row],[Date]],"mmmm")</f>
        <v>March</v>
      </c>
      <c r="L227" s="3" t="str">
        <f>TEXT(Table1[[#This Row],[Date]],"yyyy")</f>
        <v>2013</v>
      </c>
    </row>
    <row r="228" spans="3:12" x14ac:dyDescent="0.3">
      <c r="C228" s="4">
        <v>41359</v>
      </c>
      <c r="D228" s="5">
        <v>12.852499961853001</v>
      </c>
      <c r="E228" s="5">
        <v>13.0740003585815</v>
      </c>
      <c r="F228" s="5">
        <v>12.8140001296997</v>
      </c>
      <c r="G228" s="5">
        <v>13.015500068664499</v>
      </c>
      <c r="H228" s="5">
        <v>13.015500068664499</v>
      </c>
      <c r="I228" s="5">
        <v>48420000</v>
      </c>
      <c r="J228" s="2" t="str">
        <f>TEXT(Table1[[#This Row],[Date]],"dddd")</f>
        <v>Tuesday</v>
      </c>
      <c r="K228" s="5" t="str">
        <f>TEXT(Table1[[#This Row],[Date]],"mmmm")</f>
        <v>March</v>
      </c>
      <c r="L228" s="3" t="str">
        <f>TEXT(Table1[[#This Row],[Date]],"yyyy")</f>
        <v>2013</v>
      </c>
    </row>
    <row r="229" spans="3:12" x14ac:dyDescent="0.3">
      <c r="C229" s="1">
        <v>41360</v>
      </c>
      <c r="D229" s="2">
        <v>12.9375</v>
      </c>
      <c r="E229" s="2">
        <v>13.296500205993601</v>
      </c>
      <c r="F229" s="2">
        <v>12.895000457763601</v>
      </c>
      <c r="G229" s="2">
        <v>13.265000343322701</v>
      </c>
      <c r="H229" s="2">
        <v>13.265000343322701</v>
      </c>
      <c r="I229" s="2">
        <v>57498000</v>
      </c>
      <c r="J229" s="2" t="str">
        <f>TEXT(Table1[[#This Row],[Date]],"dddd")</f>
        <v>Wednesday</v>
      </c>
      <c r="K229" s="2" t="str">
        <f>TEXT(Table1[[#This Row],[Date]],"mmmm")</f>
        <v>March</v>
      </c>
      <c r="L229" s="3" t="str">
        <f>TEXT(Table1[[#This Row],[Date]],"yyyy")</f>
        <v>2013</v>
      </c>
    </row>
    <row r="230" spans="3:12" x14ac:dyDescent="0.3">
      <c r="C230" s="4">
        <v>41361</v>
      </c>
      <c r="D230" s="5">
        <v>13.2910003662109</v>
      </c>
      <c r="E230" s="5">
        <v>13.369000434875399</v>
      </c>
      <c r="F230" s="5">
        <v>13.203000068664499</v>
      </c>
      <c r="G230" s="5">
        <v>13.324500083923301</v>
      </c>
      <c r="H230" s="5">
        <v>13.324500083923301</v>
      </c>
      <c r="I230" s="5">
        <v>49474000</v>
      </c>
      <c r="J230" s="2" t="str">
        <f>TEXT(Table1[[#This Row],[Date]],"dddd")</f>
        <v>Thursday</v>
      </c>
      <c r="K230" s="5" t="str">
        <f>TEXT(Table1[[#This Row],[Date]],"mmmm")</f>
        <v>March</v>
      </c>
      <c r="L230" s="3" t="str">
        <f>TEXT(Table1[[#This Row],[Date]],"yyyy")</f>
        <v>2013</v>
      </c>
    </row>
    <row r="231" spans="3:12" x14ac:dyDescent="0.3">
      <c r="C231" s="1">
        <v>41365</v>
      </c>
      <c r="D231" s="2">
        <v>13.3489999771118</v>
      </c>
      <c r="E231" s="2">
        <v>13.369999885559</v>
      </c>
      <c r="F231" s="2">
        <v>13.0504999160766</v>
      </c>
      <c r="G231" s="2">
        <v>13.0804996490478</v>
      </c>
      <c r="H231" s="2">
        <v>13.0804996490478</v>
      </c>
      <c r="I231" s="2">
        <v>50496000</v>
      </c>
      <c r="J231" s="2" t="str">
        <f>TEXT(Table1[[#This Row],[Date]],"dddd")</f>
        <v>Monday</v>
      </c>
      <c r="K231" s="2" t="str">
        <f>TEXT(Table1[[#This Row],[Date]],"mmmm")</f>
        <v>April</v>
      </c>
      <c r="L231" s="3" t="str">
        <f>TEXT(Table1[[#This Row],[Date]],"yyyy")</f>
        <v>2013</v>
      </c>
    </row>
    <row r="232" spans="3:12" x14ac:dyDescent="0.3">
      <c r="C232" s="4">
        <v>41366</v>
      </c>
      <c r="D232" s="5">
        <v>13.119999885559</v>
      </c>
      <c r="E232" s="5">
        <v>13.2945003509521</v>
      </c>
      <c r="F232" s="5">
        <v>13.0275001525878</v>
      </c>
      <c r="G232" s="5">
        <v>13.1660003662109</v>
      </c>
      <c r="H232" s="5">
        <v>13.1660003662109</v>
      </c>
      <c r="I232" s="5">
        <v>52622000</v>
      </c>
      <c r="J232" s="2" t="str">
        <f>TEXT(Table1[[#This Row],[Date]],"dddd")</f>
        <v>Tuesday</v>
      </c>
      <c r="K232" s="5" t="str">
        <f>TEXT(Table1[[#This Row],[Date]],"mmmm")</f>
        <v>April</v>
      </c>
      <c r="L232" s="3" t="str">
        <f>TEXT(Table1[[#This Row],[Date]],"yyyy")</f>
        <v>2013</v>
      </c>
    </row>
    <row r="233" spans="3:12" x14ac:dyDescent="0.3">
      <c r="C233" s="1">
        <v>41367</v>
      </c>
      <c r="D233" s="2">
        <v>13.105999946594199</v>
      </c>
      <c r="E233" s="2">
        <v>13.1835002899169</v>
      </c>
      <c r="F233" s="2">
        <v>12.887499809265099</v>
      </c>
      <c r="G233" s="2">
        <v>12.951499938964799</v>
      </c>
      <c r="H233" s="2">
        <v>12.951499938964799</v>
      </c>
      <c r="I233" s="2">
        <v>48276000</v>
      </c>
      <c r="J233" s="2" t="str">
        <f>TEXT(Table1[[#This Row],[Date]],"dddd")</f>
        <v>Wednesday</v>
      </c>
      <c r="K233" s="2" t="str">
        <f>TEXT(Table1[[#This Row],[Date]],"mmmm")</f>
        <v>April</v>
      </c>
      <c r="L233" s="3" t="str">
        <f>TEXT(Table1[[#This Row],[Date]],"yyyy")</f>
        <v>2013</v>
      </c>
    </row>
    <row r="234" spans="3:12" x14ac:dyDescent="0.3">
      <c r="C234" s="4">
        <v>41368</v>
      </c>
      <c r="D234" s="5">
        <v>12.9615001678466</v>
      </c>
      <c r="E234" s="5">
        <v>13.020500183105399</v>
      </c>
      <c r="F234" s="5">
        <v>12.8059997558593</v>
      </c>
      <c r="G234" s="5">
        <v>12.954000473022401</v>
      </c>
      <c r="H234" s="5">
        <v>12.954000473022401</v>
      </c>
      <c r="I234" s="5">
        <v>39288000</v>
      </c>
      <c r="J234" s="2" t="str">
        <f>TEXT(Table1[[#This Row],[Date]],"dddd")</f>
        <v>Thursday</v>
      </c>
      <c r="K234" s="5" t="str">
        <f>TEXT(Table1[[#This Row],[Date]],"mmmm")</f>
        <v>April</v>
      </c>
      <c r="L234" s="3" t="str">
        <f>TEXT(Table1[[#This Row],[Date]],"yyyy")</f>
        <v>2013</v>
      </c>
    </row>
    <row r="235" spans="3:12" x14ac:dyDescent="0.3">
      <c r="C235" s="1">
        <v>41369</v>
      </c>
      <c r="D235" s="2">
        <v>12.78600025177</v>
      </c>
      <c r="E235" s="2">
        <v>12.8090000152587</v>
      </c>
      <c r="F235" s="2">
        <v>12.6835002899169</v>
      </c>
      <c r="G235" s="2">
        <v>12.7740001678466</v>
      </c>
      <c r="H235" s="2">
        <v>12.7740001678466</v>
      </c>
      <c r="I235" s="2">
        <v>51148000</v>
      </c>
      <c r="J235" s="2" t="str">
        <f>TEXT(Table1[[#This Row],[Date]],"dddd")</f>
        <v>Friday</v>
      </c>
      <c r="K235" s="2" t="str">
        <f>TEXT(Table1[[#This Row],[Date]],"mmmm")</f>
        <v>April</v>
      </c>
      <c r="L235" s="3" t="str">
        <f>TEXT(Table1[[#This Row],[Date]],"yyyy")</f>
        <v>2013</v>
      </c>
    </row>
    <row r="236" spans="3:12" x14ac:dyDescent="0.3">
      <c r="C236" s="4">
        <v>41372</v>
      </c>
      <c r="D236" s="5">
        <v>12.7959995269775</v>
      </c>
      <c r="E236" s="5">
        <v>12.984000205993601</v>
      </c>
      <c r="F236" s="5">
        <v>12.781499862670801</v>
      </c>
      <c r="G236" s="5">
        <v>12.9475002288818</v>
      </c>
      <c r="H236" s="5">
        <v>12.9475002288818</v>
      </c>
      <c r="I236" s="5">
        <v>45912000</v>
      </c>
      <c r="J236" s="2" t="str">
        <f>TEXT(Table1[[#This Row],[Date]],"dddd")</f>
        <v>Monday</v>
      </c>
      <c r="K236" s="5" t="str">
        <f>TEXT(Table1[[#This Row],[Date]],"mmmm")</f>
        <v>April</v>
      </c>
      <c r="L236" s="3" t="str">
        <f>TEXT(Table1[[#This Row],[Date]],"yyyy")</f>
        <v>2013</v>
      </c>
    </row>
    <row r="237" spans="3:12" x14ac:dyDescent="0.3">
      <c r="C237" s="1">
        <v>41373</v>
      </c>
      <c r="D237" s="2">
        <v>12.9425001144409</v>
      </c>
      <c r="E237" s="2">
        <v>13.130499839782701</v>
      </c>
      <c r="F237" s="2">
        <v>12.8500003814697</v>
      </c>
      <c r="G237" s="2">
        <v>13.0570001602172</v>
      </c>
      <c r="H237" s="2">
        <v>13.0570001602172</v>
      </c>
      <c r="I237" s="2">
        <v>43132000</v>
      </c>
      <c r="J237" s="2" t="str">
        <f>TEXT(Table1[[#This Row],[Date]],"dddd")</f>
        <v>Tuesday</v>
      </c>
      <c r="K237" s="2" t="str">
        <f>TEXT(Table1[[#This Row],[Date]],"mmmm")</f>
        <v>April</v>
      </c>
      <c r="L237" s="3" t="str">
        <f>TEXT(Table1[[#This Row],[Date]],"yyyy")</f>
        <v>2013</v>
      </c>
    </row>
    <row r="238" spans="3:12" x14ac:dyDescent="0.3">
      <c r="C238" s="4">
        <v>41374</v>
      </c>
      <c r="D238" s="5">
        <v>13.088999748229901</v>
      </c>
      <c r="E238" s="5">
        <v>13.2989997863769</v>
      </c>
      <c r="F238" s="5">
        <v>12.965999603271401</v>
      </c>
      <c r="G238" s="5">
        <v>13.2384996414184</v>
      </c>
      <c r="H238" s="5">
        <v>13.2384996414184</v>
      </c>
      <c r="I238" s="5">
        <v>46450000</v>
      </c>
      <c r="J238" s="2" t="str">
        <f>TEXT(Table1[[#This Row],[Date]],"dddd")</f>
        <v>Wednesday</v>
      </c>
      <c r="K238" s="5" t="str">
        <f>TEXT(Table1[[#This Row],[Date]],"mmmm")</f>
        <v>April</v>
      </c>
      <c r="L238" s="3" t="str">
        <f>TEXT(Table1[[#This Row],[Date]],"yyyy")</f>
        <v>2013</v>
      </c>
    </row>
    <row r="239" spans="3:12" x14ac:dyDescent="0.3">
      <c r="C239" s="1">
        <v>41375</v>
      </c>
      <c r="D239" s="2">
        <v>13.237000465393001</v>
      </c>
      <c r="E239" s="2">
        <v>13.548500061035099</v>
      </c>
      <c r="F239" s="2">
        <v>13.237000465393001</v>
      </c>
      <c r="G239" s="2">
        <v>13.4925003051757</v>
      </c>
      <c r="H239" s="2">
        <v>13.4925003051757</v>
      </c>
      <c r="I239" s="2">
        <v>61810000</v>
      </c>
      <c r="J239" s="2" t="str">
        <f>TEXT(Table1[[#This Row],[Date]],"dddd")</f>
        <v>Thursday</v>
      </c>
      <c r="K239" s="2" t="str">
        <f>TEXT(Table1[[#This Row],[Date]],"mmmm")</f>
        <v>April</v>
      </c>
      <c r="L239" s="3" t="str">
        <f>TEXT(Table1[[#This Row],[Date]],"yyyy")</f>
        <v>2013</v>
      </c>
    </row>
    <row r="240" spans="3:12" x14ac:dyDescent="0.3">
      <c r="C240" s="4">
        <v>41376</v>
      </c>
      <c r="D240" s="5">
        <v>13.505999565124499</v>
      </c>
      <c r="E240" s="5">
        <v>13.663499832153301</v>
      </c>
      <c r="F240" s="5">
        <v>13.350999832153301</v>
      </c>
      <c r="G240" s="5">
        <v>13.643500328063899</v>
      </c>
      <c r="H240" s="5">
        <v>13.643500328063899</v>
      </c>
      <c r="I240" s="5">
        <v>57326000</v>
      </c>
      <c r="J240" s="2" t="str">
        <f>TEXT(Table1[[#This Row],[Date]],"dddd")</f>
        <v>Friday</v>
      </c>
      <c r="K240" s="5" t="str">
        <f>TEXT(Table1[[#This Row],[Date]],"mmmm")</f>
        <v>April</v>
      </c>
      <c r="L240" s="3" t="str">
        <f>TEXT(Table1[[#This Row],[Date]],"yyyy")</f>
        <v>2013</v>
      </c>
    </row>
    <row r="241" spans="3:12" x14ac:dyDescent="0.3">
      <c r="C241" s="1">
        <v>41379</v>
      </c>
      <c r="D241" s="2">
        <v>13.5539999008178</v>
      </c>
      <c r="E241" s="2">
        <v>13.755999565124499</v>
      </c>
      <c r="F241" s="2">
        <v>13.3549995422363</v>
      </c>
      <c r="G241" s="2">
        <v>13.385999679565399</v>
      </c>
      <c r="H241" s="2">
        <v>13.385999679565399</v>
      </c>
      <c r="I241" s="2">
        <v>66520000</v>
      </c>
      <c r="J241" s="2" t="str">
        <f>TEXT(Table1[[#This Row],[Date]],"dddd")</f>
        <v>Monday</v>
      </c>
      <c r="K241" s="2" t="str">
        <f>TEXT(Table1[[#This Row],[Date]],"mmmm")</f>
        <v>April</v>
      </c>
      <c r="L241" s="3" t="str">
        <f>TEXT(Table1[[#This Row],[Date]],"yyyy")</f>
        <v>2013</v>
      </c>
    </row>
    <row r="242" spans="3:12" x14ac:dyDescent="0.3">
      <c r="C242" s="4">
        <v>41380</v>
      </c>
      <c r="D242" s="5">
        <v>13.4654998779296</v>
      </c>
      <c r="E242" s="5">
        <v>13.640000343322701</v>
      </c>
      <c r="F242" s="5">
        <v>13.4029998779296</v>
      </c>
      <c r="G242" s="5">
        <v>13.6169996261596</v>
      </c>
      <c r="H242" s="5">
        <v>13.6169996261596</v>
      </c>
      <c r="I242" s="5">
        <v>42744000</v>
      </c>
      <c r="J242" s="2" t="str">
        <f>TEXT(Table1[[#This Row],[Date]],"dddd")</f>
        <v>Tuesday</v>
      </c>
      <c r="K242" s="5" t="str">
        <f>TEXT(Table1[[#This Row],[Date]],"mmmm")</f>
        <v>April</v>
      </c>
      <c r="L242" s="3" t="str">
        <f>TEXT(Table1[[#This Row],[Date]],"yyyy")</f>
        <v>2013</v>
      </c>
    </row>
    <row r="243" spans="3:12" x14ac:dyDescent="0.3">
      <c r="C243" s="1">
        <v>41381</v>
      </c>
      <c r="D243" s="2">
        <v>13.539999961853001</v>
      </c>
      <c r="E243" s="2">
        <v>13.5424995422363</v>
      </c>
      <c r="F243" s="2">
        <v>13.212499618530201</v>
      </c>
      <c r="G243" s="2">
        <v>13.369999885559</v>
      </c>
      <c r="H243" s="2">
        <v>13.369999885559</v>
      </c>
      <c r="I243" s="2">
        <v>62702000</v>
      </c>
      <c r="J243" s="2" t="str">
        <f>TEXT(Table1[[#This Row],[Date]],"dddd")</f>
        <v>Wednesday</v>
      </c>
      <c r="K243" s="2" t="str">
        <f>TEXT(Table1[[#This Row],[Date]],"mmmm")</f>
        <v>April</v>
      </c>
      <c r="L243" s="3" t="str">
        <f>TEXT(Table1[[#This Row],[Date]],"yyyy")</f>
        <v>2013</v>
      </c>
    </row>
    <row r="244" spans="3:12" x14ac:dyDescent="0.3">
      <c r="C244" s="4">
        <v>41382</v>
      </c>
      <c r="D244" s="5">
        <v>13.3404998779296</v>
      </c>
      <c r="E244" s="5">
        <v>13.349499702453601</v>
      </c>
      <c r="F244" s="5">
        <v>12.829999923706</v>
      </c>
      <c r="G244" s="5">
        <v>12.970999717712401</v>
      </c>
      <c r="H244" s="5">
        <v>12.970999717712401</v>
      </c>
      <c r="I244" s="5">
        <v>62752000</v>
      </c>
      <c r="J244" s="2" t="str">
        <f>TEXT(Table1[[#This Row],[Date]],"dddd")</f>
        <v>Thursday</v>
      </c>
      <c r="K244" s="5" t="str">
        <f>TEXT(Table1[[#This Row],[Date]],"mmmm")</f>
        <v>April</v>
      </c>
      <c r="L244" s="3" t="str">
        <f>TEXT(Table1[[#This Row],[Date]],"yyyy")</f>
        <v>2013</v>
      </c>
    </row>
    <row r="245" spans="3:12" x14ac:dyDescent="0.3">
      <c r="C245" s="1">
        <v>41383</v>
      </c>
      <c r="D245" s="2">
        <v>12.9079999923706</v>
      </c>
      <c r="E245" s="2">
        <v>13.1440000534057</v>
      </c>
      <c r="F245" s="2">
        <v>12.875</v>
      </c>
      <c r="G245" s="2">
        <v>13.0159997940063</v>
      </c>
      <c r="H245" s="2">
        <v>13.0159997940063</v>
      </c>
      <c r="I245" s="2">
        <v>52050000</v>
      </c>
      <c r="J245" s="2" t="str">
        <f>TEXT(Table1[[#This Row],[Date]],"dddd")</f>
        <v>Friday</v>
      </c>
      <c r="K245" s="2" t="str">
        <f>TEXT(Table1[[#This Row],[Date]],"mmmm")</f>
        <v>April</v>
      </c>
      <c r="L245" s="3" t="str">
        <f>TEXT(Table1[[#This Row],[Date]],"yyyy")</f>
        <v>2013</v>
      </c>
    </row>
    <row r="246" spans="3:12" x14ac:dyDescent="0.3">
      <c r="C246" s="4">
        <v>41386</v>
      </c>
      <c r="D246" s="5">
        <v>12.967499732971101</v>
      </c>
      <c r="E246" s="5">
        <v>13.2299995422363</v>
      </c>
      <c r="F246" s="5">
        <v>12.901499748229901</v>
      </c>
      <c r="G246" s="5">
        <v>13.1774997711181</v>
      </c>
      <c r="H246" s="5">
        <v>13.1774997711181</v>
      </c>
      <c r="I246" s="5">
        <v>42382000</v>
      </c>
      <c r="J246" s="2" t="str">
        <f>TEXT(Table1[[#This Row],[Date]],"dddd")</f>
        <v>Monday</v>
      </c>
      <c r="K246" s="5" t="str">
        <f>TEXT(Table1[[#This Row],[Date]],"mmmm")</f>
        <v>April</v>
      </c>
      <c r="L246" s="3" t="str">
        <f>TEXT(Table1[[#This Row],[Date]],"yyyy")</f>
        <v>2013</v>
      </c>
    </row>
    <row r="247" spans="3:12" x14ac:dyDescent="0.3">
      <c r="C247" s="1">
        <v>41387</v>
      </c>
      <c r="D247" s="2">
        <v>13.2250003814697</v>
      </c>
      <c r="E247" s="2">
        <v>13.4934997558593</v>
      </c>
      <c r="F247" s="2">
        <v>13.2250003814697</v>
      </c>
      <c r="G247" s="2">
        <v>13.444999694824199</v>
      </c>
      <c r="H247" s="2">
        <v>13.444999694824199</v>
      </c>
      <c r="I247" s="2">
        <v>45412000</v>
      </c>
      <c r="J247" s="2" t="str">
        <f>TEXT(Table1[[#This Row],[Date]],"dddd")</f>
        <v>Tuesday</v>
      </c>
      <c r="K247" s="2" t="str">
        <f>TEXT(Table1[[#This Row],[Date]],"mmmm")</f>
        <v>April</v>
      </c>
      <c r="L247" s="3" t="str">
        <f>TEXT(Table1[[#This Row],[Date]],"yyyy")</f>
        <v>2013</v>
      </c>
    </row>
    <row r="248" spans="3:12" x14ac:dyDescent="0.3">
      <c r="C248" s="4">
        <v>41388</v>
      </c>
      <c r="D248" s="5">
        <v>13.4750003814697</v>
      </c>
      <c r="E248" s="5">
        <v>13.573499679565399</v>
      </c>
      <c r="F248" s="5">
        <v>13.3404998779296</v>
      </c>
      <c r="G248" s="5">
        <v>13.4390001296997</v>
      </c>
      <c r="H248" s="5">
        <v>13.4390001296997</v>
      </c>
      <c r="I248" s="5">
        <v>37056000</v>
      </c>
      <c r="J248" s="2" t="str">
        <f>TEXT(Table1[[#This Row],[Date]],"dddd")</f>
        <v>Wednesday</v>
      </c>
      <c r="K248" s="5" t="str">
        <f>TEXT(Table1[[#This Row],[Date]],"mmmm")</f>
        <v>April</v>
      </c>
      <c r="L248" s="3" t="str">
        <f>TEXT(Table1[[#This Row],[Date]],"yyyy")</f>
        <v>2013</v>
      </c>
    </row>
    <row r="249" spans="3:12" x14ac:dyDescent="0.3">
      <c r="C249" s="1">
        <v>41389</v>
      </c>
      <c r="D249" s="2">
        <v>13.576499938964799</v>
      </c>
      <c r="E249" s="2">
        <v>13.789999961853001</v>
      </c>
      <c r="F249" s="2">
        <v>13.524999618530201</v>
      </c>
      <c r="G249" s="2">
        <v>13.7349996566772</v>
      </c>
      <c r="H249" s="2">
        <v>13.7349996566772</v>
      </c>
      <c r="I249" s="2">
        <v>122330000</v>
      </c>
      <c r="J249" s="2" t="str">
        <f>TEXT(Table1[[#This Row],[Date]],"dddd")</f>
        <v>Thursday</v>
      </c>
      <c r="K249" s="2" t="str">
        <f>TEXT(Table1[[#This Row],[Date]],"mmmm")</f>
        <v>April</v>
      </c>
      <c r="L249" s="3" t="str">
        <f>TEXT(Table1[[#This Row],[Date]],"yyyy")</f>
        <v>2013</v>
      </c>
    </row>
    <row r="250" spans="3:12" x14ac:dyDescent="0.3">
      <c r="C250" s="4">
        <v>41390</v>
      </c>
      <c r="D250" s="5">
        <v>13.498499870300201</v>
      </c>
      <c r="E250" s="5">
        <v>13.600999832153301</v>
      </c>
      <c r="F250" s="5">
        <v>12.640500068664499</v>
      </c>
      <c r="G250" s="5">
        <v>12.740500450134199</v>
      </c>
      <c r="H250" s="5">
        <v>12.740500450134199</v>
      </c>
      <c r="I250" s="5">
        <v>280600000</v>
      </c>
      <c r="J250" s="2" t="str">
        <f>TEXT(Table1[[#This Row],[Date]],"dddd")</f>
        <v>Friday</v>
      </c>
      <c r="K250" s="5" t="str">
        <f>TEXT(Table1[[#This Row],[Date]],"mmmm")</f>
        <v>April</v>
      </c>
      <c r="L250" s="3" t="str">
        <f>TEXT(Table1[[#This Row],[Date]],"yyyy")</f>
        <v>2013</v>
      </c>
    </row>
    <row r="251" spans="3:12" x14ac:dyDescent="0.3">
      <c r="C251" s="1">
        <v>41393</v>
      </c>
      <c r="D251" s="2">
        <v>12.744999885559</v>
      </c>
      <c r="E251" s="2">
        <v>12.8505001068115</v>
      </c>
      <c r="F251" s="2">
        <v>12.457500457763601</v>
      </c>
      <c r="G251" s="2">
        <v>12.487000465393001</v>
      </c>
      <c r="H251" s="2">
        <v>12.487000465393001</v>
      </c>
      <c r="I251" s="2">
        <v>142340000</v>
      </c>
      <c r="J251" s="2" t="str">
        <f>TEXT(Table1[[#This Row],[Date]],"dddd")</f>
        <v>Monday</v>
      </c>
      <c r="K251" s="2" t="str">
        <f>TEXT(Table1[[#This Row],[Date]],"mmmm")</f>
        <v>April</v>
      </c>
      <c r="L251" s="3" t="str">
        <f>TEXT(Table1[[#This Row],[Date]],"yyyy")</f>
        <v>2013</v>
      </c>
    </row>
    <row r="252" spans="3:12" x14ac:dyDescent="0.3">
      <c r="C252" s="4">
        <v>41394</v>
      </c>
      <c r="D252" s="5">
        <v>12.4685001373291</v>
      </c>
      <c r="E252" s="5">
        <v>12.734000205993601</v>
      </c>
      <c r="F252" s="5">
        <v>12.428000450134199</v>
      </c>
      <c r="G252" s="5">
        <v>12.6905002593994</v>
      </c>
      <c r="H252" s="5">
        <v>12.6905002593994</v>
      </c>
      <c r="I252" s="5">
        <v>84976000</v>
      </c>
      <c r="J252" s="2" t="str">
        <f>TEXT(Table1[[#This Row],[Date]],"dddd")</f>
        <v>Tuesday</v>
      </c>
      <c r="K252" s="5" t="str">
        <f>TEXT(Table1[[#This Row],[Date]],"mmmm")</f>
        <v>April</v>
      </c>
      <c r="L252" s="3" t="str">
        <f>TEXT(Table1[[#This Row],[Date]],"yyyy")</f>
        <v>2013</v>
      </c>
    </row>
    <row r="253" spans="3:12" x14ac:dyDescent="0.3">
      <c r="C253" s="1">
        <v>41395</v>
      </c>
      <c r="D253" s="2">
        <v>12.694999694824199</v>
      </c>
      <c r="E253" s="2">
        <v>12.7100000381469</v>
      </c>
      <c r="F253" s="2">
        <v>12.2875003814697</v>
      </c>
      <c r="G253" s="2">
        <v>12.4114999771118</v>
      </c>
      <c r="H253" s="2">
        <v>12.4114999771118</v>
      </c>
      <c r="I253" s="2">
        <v>87828000</v>
      </c>
      <c r="J253" s="2" t="str">
        <f>TEXT(Table1[[#This Row],[Date]],"dddd")</f>
        <v>Wednesday</v>
      </c>
      <c r="K253" s="2" t="str">
        <f>TEXT(Table1[[#This Row],[Date]],"mmmm")</f>
        <v>May</v>
      </c>
      <c r="L253" s="3" t="str">
        <f>TEXT(Table1[[#This Row],[Date]],"yyyy")</f>
        <v>2013</v>
      </c>
    </row>
    <row r="254" spans="3:12" x14ac:dyDescent="0.3">
      <c r="C254" s="4">
        <v>41396</v>
      </c>
      <c r="D254" s="5">
        <v>12.4469995498657</v>
      </c>
      <c r="E254" s="5">
        <v>12.646499633789</v>
      </c>
      <c r="F254" s="5">
        <v>12.288999557495099</v>
      </c>
      <c r="G254" s="5">
        <v>12.627499580383301</v>
      </c>
      <c r="H254" s="5">
        <v>12.627499580383301</v>
      </c>
      <c r="I254" s="5">
        <v>78724000</v>
      </c>
      <c r="J254" s="2" t="str">
        <f>TEXT(Table1[[#This Row],[Date]],"dddd")</f>
        <v>Thursday</v>
      </c>
      <c r="K254" s="5" t="str">
        <f>TEXT(Table1[[#This Row],[Date]],"mmmm")</f>
        <v>May</v>
      </c>
      <c r="L254" s="3" t="str">
        <f>TEXT(Table1[[#This Row],[Date]],"yyyy")</f>
        <v>2013</v>
      </c>
    </row>
    <row r="255" spans="3:12" x14ac:dyDescent="0.3">
      <c r="C255" s="1">
        <v>41397</v>
      </c>
      <c r="D255" s="2">
        <v>12.8070001602172</v>
      </c>
      <c r="E255" s="2">
        <v>12.962499618530201</v>
      </c>
      <c r="F255" s="2">
        <v>12.7349996566772</v>
      </c>
      <c r="G255" s="2">
        <v>12.9025001525878</v>
      </c>
      <c r="H255" s="2">
        <v>12.9025001525878</v>
      </c>
      <c r="I255" s="2">
        <v>70280000</v>
      </c>
      <c r="J255" s="2" t="str">
        <f>TEXT(Table1[[#This Row],[Date]],"dddd")</f>
        <v>Friday</v>
      </c>
      <c r="K255" s="2" t="str">
        <f>TEXT(Table1[[#This Row],[Date]],"mmmm")</f>
        <v>May</v>
      </c>
      <c r="L255" s="3" t="str">
        <f>TEXT(Table1[[#This Row],[Date]],"yyyy")</f>
        <v>2013</v>
      </c>
    </row>
    <row r="256" spans="3:12" x14ac:dyDescent="0.3">
      <c r="C256" s="4">
        <v>41400</v>
      </c>
      <c r="D256" s="5">
        <v>12.9045000076293</v>
      </c>
      <c r="E256" s="5">
        <v>12.9750003814697</v>
      </c>
      <c r="F256" s="5">
        <v>12.6709995269775</v>
      </c>
      <c r="G256" s="5">
        <v>12.78600025177</v>
      </c>
      <c r="H256" s="5">
        <v>12.78600025177</v>
      </c>
      <c r="I256" s="5">
        <v>46956000</v>
      </c>
      <c r="J256" s="2" t="str">
        <f>TEXT(Table1[[#This Row],[Date]],"dddd")</f>
        <v>Monday</v>
      </c>
      <c r="K256" s="5" t="str">
        <f>TEXT(Table1[[#This Row],[Date]],"mmmm")</f>
        <v>May</v>
      </c>
      <c r="L256" s="3" t="str">
        <f>TEXT(Table1[[#This Row],[Date]],"yyyy")</f>
        <v>2013</v>
      </c>
    </row>
    <row r="257" spans="3:12" x14ac:dyDescent="0.3">
      <c r="C257" s="1">
        <v>41401</v>
      </c>
      <c r="D257" s="2">
        <v>12.8155002593994</v>
      </c>
      <c r="E257" s="2">
        <v>12.987000465393001</v>
      </c>
      <c r="F257" s="2">
        <v>12.645500183105399</v>
      </c>
      <c r="G257" s="2">
        <v>12.8865003585815</v>
      </c>
      <c r="H257" s="2">
        <v>12.8865003585815</v>
      </c>
      <c r="I257" s="2">
        <v>62674000</v>
      </c>
      <c r="J257" s="2" t="str">
        <f>TEXT(Table1[[#This Row],[Date]],"dddd")</f>
        <v>Tuesday</v>
      </c>
      <c r="K257" s="2" t="str">
        <f>TEXT(Table1[[#This Row],[Date]],"mmmm")</f>
        <v>May</v>
      </c>
      <c r="L257" s="3" t="str">
        <f>TEXT(Table1[[#This Row],[Date]],"yyyy")</f>
        <v>2013</v>
      </c>
    </row>
    <row r="258" spans="3:12" x14ac:dyDescent="0.3">
      <c r="C258" s="4">
        <v>41402</v>
      </c>
      <c r="D258" s="5">
        <v>12.8435001373291</v>
      </c>
      <c r="E258" s="5">
        <v>13.015000343322701</v>
      </c>
      <c r="F258" s="5">
        <v>12.766500473022401</v>
      </c>
      <c r="G258" s="5">
        <v>12.9340000152587</v>
      </c>
      <c r="H258" s="5">
        <v>12.9340000152587</v>
      </c>
      <c r="I258" s="5">
        <v>53540000</v>
      </c>
      <c r="J258" s="2" t="str">
        <f>TEXT(Table1[[#This Row],[Date]],"dddd")</f>
        <v>Wednesday</v>
      </c>
      <c r="K258" s="5" t="str">
        <f>TEXT(Table1[[#This Row],[Date]],"mmmm")</f>
        <v>May</v>
      </c>
      <c r="L258" s="3" t="str">
        <f>TEXT(Table1[[#This Row],[Date]],"yyyy")</f>
        <v>2013</v>
      </c>
    </row>
    <row r="259" spans="3:12" x14ac:dyDescent="0.3">
      <c r="C259" s="1">
        <v>41403</v>
      </c>
      <c r="D259" s="2">
        <v>12.936499595641999</v>
      </c>
      <c r="E259" s="2">
        <v>13.1774997711181</v>
      </c>
      <c r="F259" s="2">
        <v>12.843999862670801</v>
      </c>
      <c r="G259" s="2">
        <v>13.0080003738403</v>
      </c>
      <c r="H259" s="2">
        <v>13.0080003738403</v>
      </c>
      <c r="I259" s="2">
        <v>55386000</v>
      </c>
      <c r="J259" s="2" t="str">
        <f>TEXT(Table1[[#This Row],[Date]],"dddd")</f>
        <v>Thursday</v>
      </c>
      <c r="K259" s="2" t="str">
        <f>TEXT(Table1[[#This Row],[Date]],"mmmm")</f>
        <v>May</v>
      </c>
      <c r="L259" s="3" t="str">
        <f>TEXT(Table1[[#This Row],[Date]],"yyyy")</f>
        <v>2013</v>
      </c>
    </row>
    <row r="260" spans="3:12" x14ac:dyDescent="0.3">
      <c r="C260" s="4">
        <v>41404</v>
      </c>
      <c r="D260" s="5">
        <v>13.043999671936</v>
      </c>
      <c r="E260" s="5">
        <v>13.182499885559</v>
      </c>
      <c r="F260" s="5">
        <v>13.010499954223601</v>
      </c>
      <c r="G260" s="5">
        <v>13.181500434875399</v>
      </c>
      <c r="H260" s="5">
        <v>13.181500434875399</v>
      </c>
      <c r="I260" s="5">
        <v>62906000</v>
      </c>
      <c r="J260" s="2" t="str">
        <f>TEXT(Table1[[#This Row],[Date]],"dddd")</f>
        <v>Friday</v>
      </c>
      <c r="K260" s="5" t="str">
        <f>TEXT(Table1[[#This Row],[Date]],"mmmm")</f>
        <v>May</v>
      </c>
      <c r="L260" s="3" t="str">
        <f>TEXT(Table1[[#This Row],[Date]],"yyyy")</f>
        <v>2013</v>
      </c>
    </row>
    <row r="261" spans="3:12" x14ac:dyDescent="0.3">
      <c r="C261" s="1">
        <v>41407</v>
      </c>
      <c r="D261" s="2">
        <v>13.138500213623001</v>
      </c>
      <c r="E261" s="2">
        <v>13.293999671936</v>
      </c>
      <c r="F261" s="2">
        <v>13.1000003814697</v>
      </c>
      <c r="G261" s="2">
        <v>13.2255001068115</v>
      </c>
      <c r="H261" s="2">
        <v>13.2255001068115</v>
      </c>
      <c r="I261" s="2">
        <v>42990000</v>
      </c>
      <c r="J261" s="2" t="str">
        <f>TEXT(Table1[[#This Row],[Date]],"dddd")</f>
        <v>Monday</v>
      </c>
      <c r="K261" s="2" t="str">
        <f>TEXT(Table1[[#This Row],[Date]],"mmmm")</f>
        <v>May</v>
      </c>
      <c r="L261" s="3" t="str">
        <f>TEXT(Table1[[#This Row],[Date]],"yyyy")</f>
        <v>2013</v>
      </c>
    </row>
    <row r="262" spans="3:12" x14ac:dyDescent="0.3">
      <c r="C262" s="4">
        <v>41408</v>
      </c>
      <c r="D262" s="5">
        <v>13.2250003814697</v>
      </c>
      <c r="E262" s="5">
        <v>13.4700002670288</v>
      </c>
      <c r="F262" s="5">
        <v>13.201499938964799</v>
      </c>
      <c r="G262" s="5">
        <v>13.416500091552701</v>
      </c>
      <c r="H262" s="5">
        <v>13.416500091552701</v>
      </c>
      <c r="I262" s="5">
        <v>54000000</v>
      </c>
      <c r="J262" s="2" t="str">
        <f>TEXT(Table1[[#This Row],[Date]],"dddd")</f>
        <v>Tuesday</v>
      </c>
      <c r="K262" s="5" t="str">
        <f>TEXT(Table1[[#This Row],[Date]],"mmmm")</f>
        <v>May</v>
      </c>
      <c r="L262" s="3" t="str">
        <f>TEXT(Table1[[#This Row],[Date]],"yyyy")</f>
        <v>2013</v>
      </c>
    </row>
    <row r="263" spans="3:12" x14ac:dyDescent="0.3">
      <c r="C263" s="1">
        <v>41409</v>
      </c>
      <c r="D263" s="2">
        <v>13.3535003662109</v>
      </c>
      <c r="E263" s="2">
        <v>13.452500343322701</v>
      </c>
      <c r="F263" s="2">
        <v>13.227999687194799</v>
      </c>
      <c r="G263" s="2">
        <v>13.328000068664499</v>
      </c>
      <c r="H263" s="2">
        <v>13.328000068664499</v>
      </c>
      <c r="I263" s="2">
        <v>54410000</v>
      </c>
      <c r="J263" s="2" t="str">
        <f>TEXT(Table1[[#This Row],[Date]],"dddd")</f>
        <v>Wednesday</v>
      </c>
      <c r="K263" s="2" t="str">
        <f>TEXT(Table1[[#This Row],[Date]],"mmmm")</f>
        <v>May</v>
      </c>
      <c r="L263" s="3" t="str">
        <f>TEXT(Table1[[#This Row],[Date]],"yyyy")</f>
        <v>2013</v>
      </c>
    </row>
    <row r="264" spans="3:12" x14ac:dyDescent="0.3">
      <c r="C264" s="4">
        <v>41410</v>
      </c>
      <c r="D264" s="5">
        <v>13.298000335693301</v>
      </c>
      <c r="E264" s="5">
        <v>13.421500205993601</v>
      </c>
      <c r="F264" s="5">
        <v>13.1925001144409</v>
      </c>
      <c r="G264" s="5">
        <v>13.206000328063899</v>
      </c>
      <c r="H264" s="5">
        <v>13.206000328063899</v>
      </c>
      <c r="I264" s="5">
        <v>32870000</v>
      </c>
      <c r="J264" s="2" t="str">
        <f>TEXT(Table1[[#This Row],[Date]],"dddd")</f>
        <v>Thursday</v>
      </c>
      <c r="K264" s="5" t="str">
        <f>TEXT(Table1[[#This Row],[Date]],"mmmm")</f>
        <v>May</v>
      </c>
      <c r="L264" s="3" t="str">
        <f>TEXT(Table1[[#This Row],[Date]],"yyyy")</f>
        <v>2013</v>
      </c>
    </row>
    <row r="265" spans="3:12" x14ac:dyDescent="0.3">
      <c r="C265" s="1">
        <v>41411</v>
      </c>
      <c r="D265" s="2">
        <v>13.291500091552701</v>
      </c>
      <c r="E265" s="2">
        <v>13.498999595641999</v>
      </c>
      <c r="F265" s="2">
        <v>13.25</v>
      </c>
      <c r="G265" s="2">
        <v>13.494999885559</v>
      </c>
      <c r="H265" s="2">
        <v>13.494999885559</v>
      </c>
      <c r="I265" s="2">
        <v>50546000</v>
      </c>
      <c r="J265" s="2" t="str">
        <f>TEXT(Table1[[#This Row],[Date]],"dddd")</f>
        <v>Friday</v>
      </c>
      <c r="K265" s="2" t="str">
        <f>TEXT(Table1[[#This Row],[Date]],"mmmm")</f>
        <v>May</v>
      </c>
      <c r="L265" s="3" t="str">
        <f>TEXT(Table1[[#This Row],[Date]],"yyyy")</f>
        <v>2013</v>
      </c>
    </row>
    <row r="266" spans="3:12" x14ac:dyDescent="0.3">
      <c r="C266" s="4">
        <v>41414</v>
      </c>
      <c r="D266" s="5">
        <v>13.449999809265099</v>
      </c>
      <c r="E266" s="5">
        <v>13.589500427246</v>
      </c>
      <c r="F266" s="5">
        <v>13.324999809265099</v>
      </c>
      <c r="G266" s="5">
        <v>13.3815002441406</v>
      </c>
      <c r="H266" s="5">
        <v>13.3815002441406</v>
      </c>
      <c r="I266" s="5">
        <v>44180000</v>
      </c>
      <c r="J266" s="2" t="str">
        <f>TEXT(Table1[[#This Row],[Date]],"dddd")</f>
        <v>Monday</v>
      </c>
      <c r="K266" s="5" t="str">
        <f>TEXT(Table1[[#This Row],[Date]],"mmmm")</f>
        <v>May</v>
      </c>
      <c r="L266" s="3" t="str">
        <f>TEXT(Table1[[#This Row],[Date]],"yyyy")</f>
        <v>2013</v>
      </c>
    </row>
    <row r="267" spans="3:12" x14ac:dyDescent="0.3">
      <c r="C267" s="1">
        <v>41415</v>
      </c>
      <c r="D267" s="2">
        <v>13.4370002746582</v>
      </c>
      <c r="E267" s="2">
        <v>13.538499832153301</v>
      </c>
      <c r="F267" s="2">
        <v>13.3830003738403</v>
      </c>
      <c r="G267" s="2">
        <v>13.442999839782701</v>
      </c>
      <c r="H267" s="2">
        <v>13.442999839782701</v>
      </c>
      <c r="I267" s="2">
        <v>34824000</v>
      </c>
      <c r="J267" s="2" t="str">
        <f>TEXT(Table1[[#This Row],[Date]],"dddd")</f>
        <v>Tuesday</v>
      </c>
      <c r="K267" s="2" t="str">
        <f>TEXT(Table1[[#This Row],[Date]],"mmmm")</f>
        <v>May</v>
      </c>
      <c r="L267" s="3" t="str">
        <f>TEXT(Table1[[#This Row],[Date]],"yyyy")</f>
        <v>2013</v>
      </c>
    </row>
    <row r="268" spans="3:12" x14ac:dyDescent="0.3">
      <c r="C268" s="4">
        <v>41416</v>
      </c>
      <c r="D268" s="5">
        <v>13.3695001602172</v>
      </c>
      <c r="E268" s="5">
        <v>13.3795003890991</v>
      </c>
      <c r="F268" s="5">
        <v>13.039999961853001</v>
      </c>
      <c r="G268" s="5">
        <v>13.1479997634887</v>
      </c>
      <c r="H268" s="5">
        <v>13.1479997634887</v>
      </c>
      <c r="I268" s="5">
        <v>66640000</v>
      </c>
      <c r="J268" s="2" t="str">
        <f>TEXT(Table1[[#This Row],[Date]],"dddd")</f>
        <v>Wednesday</v>
      </c>
      <c r="K268" s="5" t="str">
        <f>TEXT(Table1[[#This Row],[Date]],"mmmm")</f>
        <v>May</v>
      </c>
      <c r="L268" s="3" t="str">
        <f>TEXT(Table1[[#This Row],[Date]],"yyyy")</f>
        <v>2013</v>
      </c>
    </row>
    <row r="269" spans="3:12" x14ac:dyDescent="0.3">
      <c r="C269" s="1">
        <v>41417</v>
      </c>
      <c r="D269" s="2">
        <v>13.0244998931884</v>
      </c>
      <c r="E269" s="2">
        <v>13.158499717712401</v>
      </c>
      <c r="F269" s="2">
        <v>12.979499816894499</v>
      </c>
      <c r="G269" s="2">
        <v>13.0900001525878</v>
      </c>
      <c r="H269" s="2">
        <v>13.0900001525878</v>
      </c>
      <c r="I269" s="2">
        <v>40006000</v>
      </c>
      <c r="J269" s="2" t="str">
        <f>TEXT(Table1[[#This Row],[Date]],"dddd")</f>
        <v>Thursday</v>
      </c>
      <c r="K269" s="2" t="str">
        <f>TEXT(Table1[[#This Row],[Date]],"mmmm")</f>
        <v>May</v>
      </c>
      <c r="L269" s="3" t="str">
        <f>TEXT(Table1[[#This Row],[Date]],"yyyy")</f>
        <v>2013</v>
      </c>
    </row>
    <row r="270" spans="3:12" x14ac:dyDescent="0.3">
      <c r="C270" s="4">
        <v>41418</v>
      </c>
      <c r="D270" s="5">
        <v>12.9925003051757</v>
      </c>
      <c r="E270" s="5">
        <v>13.0965003967285</v>
      </c>
      <c r="F270" s="5">
        <v>12.916999816894499</v>
      </c>
      <c r="G270" s="5">
        <v>13.0869998931884</v>
      </c>
      <c r="H270" s="5">
        <v>13.0869998931884</v>
      </c>
      <c r="I270" s="5">
        <v>33926000</v>
      </c>
      <c r="J270" s="2" t="str">
        <f>TEXT(Table1[[#This Row],[Date]],"dddd")</f>
        <v>Friday</v>
      </c>
      <c r="K270" s="5" t="str">
        <f>TEXT(Table1[[#This Row],[Date]],"mmmm")</f>
        <v>May</v>
      </c>
      <c r="L270" s="3" t="str">
        <f>TEXT(Table1[[#This Row],[Date]],"yyyy")</f>
        <v>2013</v>
      </c>
    </row>
    <row r="271" spans="3:12" x14ac:dyDescent="0.3">
      <c r="C271" s="1">
        <v>41422</v>
      </c>
      <c r="D271" s="2">
        <v>13.3240003585815</v>
      </c>
      <c r="E271" s="2">
        <v>13.5550003051757</v>
      </c>
      <c r="F271" s="2">
        <v>13.300000190734799</v>
      </c>
      <c r="G271" s="2">
        <v>13.3645000457763</v>
      </c>
      <c r="H271" s="2">
        <v>13.3645000457763</v>
      </c>
      <c r="I271" s="2">
        <v>69420000</v>
      </c>
      <c r="J271" s="2" t="str">
        <f>TEXT(Table1[[#This Row],[Date]],"dddd")</f>
        <v>Tuesday</v>
      </c>
      <c r="K271" s="2" t="str">
        <f>TEXT(Table1[[#This Row],[Date]],"mmmm")</f>
        <v>May</v>
      </c>
      <c r="L271" s="3" t="str">
        <f>TEXT(Table1[[#This Row],[Date]],"yyyy")</f>
        <v>2013</v>
      </c>
    </row>
    <row r="272" spans="3:12" x14ac:dyDescent="0.3">
      <c r="C272" s="4">
        <v>41423</v>
      </c>
      <c r="D272" s="5">
        <v>13.2729997634887</v>
      </c>
      <c r="E272" s="5">
        <v>13.4125003814697</v>
      </c>
      <c r="F272" s="5">
        <v>13.2419996261596</v>
      </c>
      <c r="G272" s="5">
        <v>13.276499748229901</v>
      </c>
      <c r="H272" s="5">
        <v>13.276499748229901</v>
      </c>
      <c r="I272" s="5">
        <v>38068000</v>
      </c>
      <c r="J272" s="2" t="str">
        <f>TEXT(Table1[[#This Row],[Date]],"dddd")</f>
        <v>Wednesday</v>
      </c>
      <c r="K272" s="5" t="str">
        <f>TEXT(Table1[[#This Row],[Date]],"mmmm")</f>
        <v>May</v>
      </c>
      <c r="L272" s="3" t="str">
        <f>TEXT(Table1[[#This Row],[Date]],"yyyy")</f>
        <v>2013</v>
      </c>
    </row>
    <row r="273" spans="3:12" x14ac:dyDescent="0.3">
      <c r="C273" s="1">
        <v>41424</v>
      </c>
      <c r="D273" s="2">
        <v>13.285499572753899</v>
      </c>
      <c r="E273" s="2">
        <v>13.428500175476</v>
      </c>
      <c r="F273" s="2">
        <v>13.280500411987299</v>
      </c>
      <c r="G273" s="2">
        <v>13.3415002822875</v>
      </c>
      <c r="H273" s="2">
        <v>13.3415002822875</v>
      </c>
      <c r="I273" s="2">
        <v>33350000</v>
      </c>
      <c r="J273" s="2" t="str">
        <f>TEXT(Table1[[#This Row],[Date]],"dddd")</f>
        <v>Thursday</v>
      </c>
      <c r="K273" s="2" t="str">
        <f>TEXT(Table1[[#This Row],[Date]],"mmmm")</f>
        <v>May</v>
      </c>
      <c r="L273" s="3" t="str">
        <f>TEXT(Table1[[#This Row],[Date]],"yyyy")</f>
        <v>2013</v>
      </c>
    </row>
    <row r="274" spans="3:12" x14ac:dyDescent="0.3">
      <c r="C274" s="4">
        <v>41425</v>
      </c>
      <c r="D274" s="5">
        <v>13.300000190734799</v>
      </c>
      <c r="E274" s="5">
        <v>13.5954999923706</v>
      </c>
      <c r="F274" s="5">
        <v>13.296999931335399</v>
      </c>
      <c r="G274" s="5">
        <v>13.4600000381469</v>
      </c>
      <c r="H274" s="5">
        <v>13.4600000381469</v>
      </c>
      <c r="I274" s="5">
        <v>67486000</v>
      </c>
      <c r="J274" s="2" t="str">
        <f>TEXT(Table1[[#This Row],[Date]],"dddd")</f>
        <v>Friday</v>
      </c>
      <c r="K274" s="5" t="str">
        <f>TEXT(Table1[[#This Row],[Date]],"mmmm")</f>
        <v>May</v>
      </c>
      <c r="L274" s="3" t="str">
        <f>TEXT(Table1[[#This Row],[Date]],"yyyy")</f>
        <v>2013</v>
      </c>
    </row>
    <row r="275" spans="3:12" x14ac:dyDescent="0.3">
      <c r="C275" s="1">
        <v>41428</v>
      </c>
      <c r="D275" s="2">
        <v>13.447999954223601</v>
      </c>
      <c r="E275" s="2">
        <v>13.4554996490478</v>
      </c>
      <c r="F275" s="2">
        <v>13.1475000381469</v>
      </c>
      <c r="G275" s="2">
        <v>13.343999862670801</v>
      </c>
      <c r="H275" s="2">
        <v>13.343999862670801</v>
      </c>
      <c r="I275" s="2">
        <v>50878000</v>
      </c>
      <c r="J275" s="2" t="str">
        <f>TEXT(Table1[[#This Row],[Date]],"dddd")</f>
        <v>Monday</v>
      </c>
      <c r="K275" s="2" t="str">
        <f>TEXT(Table1[[#This Row],[Date]],"mmmm")</f>
        <v>June</v>
      </c>
      <c r="L275" s="3" t="str">
        <f>TEXT(Table1[[#This Row],[Date]],"yyyy")</f>
        <v>2013</v>
      </c>
    </row>
    <row r="276" spans="3:12" x14ac:dyDescent="0.3">
      <c r="C276" s="4">
        <v>41429</v>
      </c>
      <c r="D276" s="5">
        <v>13.3500003814697</v>
      </c>
      <c r="E276" s="5">
        <v>13.4440002441406</v>
      </c>
      <c r="F276" s="5">
        <v>13.1510000228881</v>
      </c>
      <c r="G276" s="5">
        <v>13.2849998474121</v>
      </c>
      <c r="H276" s="5">
        <v>13.2849998474121</v>
      </c>
      <c r="I276" s="5">
        <v>41772000</v>
      </c>
      <c r="J276" s="2" t="str">
        <f>TEXT(Table1[[#This Row],[Date]],"dddd")</f>
        <v>Tuesday</v>
      </c>
      <c r="K276" s="5" t="str">
        <f>TEXT(Table1[[#This Row],[Date]],"mmmm")</f>
        <v>June</v>
      </c>
      <c r="L276" s="3" t="str">
        <f>TEXT(Table1[[#This Row],[Date]],"yyyy")</f>
        <v>2013</v>
      </c>
    </row>
    <row r="277" spans="3:12" x14ac:dyDescent="0.3">
      <c r="C277" s="1">
        <v>41430</v>
      </c>
      <c r="D277" s="2">
        <v>13.290499687194799</v>
      </c>
      <c r="E277" s="2">
        <v>13.583000183105399</v>
      </c>
      <c r="F277" s="2">
        <v>13.251000404357899</v>
      </c>
      <c r="G277" s="2">
        <v>13.3584995269775</v>
      </c>
      <c r="H277" s="2">
        <v>13.3584995269775</v>
      </c>
      <c r="I277" s="2">
        <v>70246000</v>
      </c>
      <c r="J277" s="2" t="str">
        <f>TEXT(Table1[[#This Row],[Date]],"dddd")</f>
        <v>Wednesday</v>
      </c>
      <c r="K277" s="2" t="str">
        <f>TEXT(Table1[[#This Row],[Date]],"mmmm")</f>
        <v>June</v>
      </c>
      <c r="L277" s="3" t="str">
        <f>TEXT(Table1[[#This Row],[Date]],"yyyy")</f>
        <v>2013</v>
      </c>
    </row>
    <row r="278" spans="3:12" x14ac:dyDescent="0.3">
      <c r="C278" s="4">
        <v>41431</v>
      </c>
      <c r="D278" s="5">
        <v>13.387499809265099</v>
      </c>
      <c r="E278" s="5">
        <v>13.524999618530201</v>
      </c>
      <c r="F278" s="5">
        <v>13.2104997634887</v>
      </c>
      <c r="G278" s="5">
        <v>13.391500473022401</v>
      </c>
      <c r="H278" s="5">
        <v>13.391500473022401</v>
      </c>
      <c r="I278" s="5">
        <v>49526000</v>
      </c>
      <c r="J278" s="2" t="str">
        <f>TEXT(Table1[[#This Row],[Date]],"dddd")</f>
        <v>Thursday</v>
      </c>
      <c r="K278" s="5" t="str">
        <f>TEXT(Table1[[#This Row],[Date]],"mmmm")</f>
        <v>June</v>
      </c>
      <c r="L278" s="3" t="str">
        <f>TEXT(Table1[[#This Row],[Date]],"yyyy")</f>
        <v>2013</v>
      </c>
    </row>
    <row r="279" spans="3:12" x14ac:dyDescent="0.3">
      <c r="C279" s="1">
        <v>41432</v>
      </c>
      <c r="D279" s="2">
        <v>13.487000465393001</v>
      </c>
      <c r="E279" s="2">
        <v>14.0050001144409</v>
      </c>
      <c r="F279" s="2">
        <v>13.4565000534057</v>
      </c>
      <c r="G279" s="2">
        <v>13.8435001373291</v>
      </c>
      <c r="H279" s="2">
        <v>13.8435001373291</v>
      </c>
      <c r="I279" s="2">
        <v>92652000</v>
      </c>
      <c r="J279" s="2" t="str">
        <f>TEXT(Table1[[#This Row],[Date]],"dddd")</f>
        <v>Friday</v>
      </c>
      <c r="K279" s="2" t="str">
        <f>TEXT(Table1[[#This Row],[Date]],"mmmm")</f>
        <v>June</v>
      </c>
      <c r="L279" s="3" t="str">
        <f>TEXT(Table1[[#This Row],[Date]],"yyyy")</f>
        <v>2013</v>
      </c>
    </row>
    <row r="280" spans="3:12" x14ac:dyDescent="0.3">
      <c r="C280" s="4">
        <v>41435</v>
      </c>
      <c r="D280" s="5">
        <v>13.833999633789</v>
      </c>
      <c r="E280" s="5">
        <v>14.123499870300201</v>
      </c>
      <c r="F280" s="5">
        <v>13.762000083923301</v>
      </c>
      <c r="G280" s="5">
        <v>14.053500175476</v>
      </c>
      <c r="H280" s="5">
        <v>14.053500175476</v>
      </c>
      <c r="I280" s="5">
        <v>61730000</v>
      </c>
      <c r="J280" s="2" t="str">
        <f>TEXT(Table1[[#This Row],[Date]],"dddd")</f>
        <v>Monday</v>
      </c>
      <c r="K280" s="5" t="str">
        <f>TEXT(Table1[[#This Row],[Date]],"mmmm")</f>
        <v>June</v>
      </c>
      <c r="L280" s="3" t="str">
        <f>TEXT(Table1[[#This Row],[Date]],"yyyy")</f>
        <v>2013</v>
      </c>
    </row>
    <row r="281" spans="3:12" x14ac:dyDescent="0.3">
      <c r="C281" s="1">
        <v>41436</v>
      </c>
      <c r="D281" s="2">
        <v>13.800000190734799</v>
      </c>
      <c r="E281" s="2">
        <v>13.9204998016357</v>
      </c>
      <c r="F281" s="2">
        <v>13.7119998931884</v>
      </c>
      <c r="G281" s="2">
        <v>13.739000320434499</v>
      </c>
      <c r="H281" s="2">
        <v>13.739000320434499</v>
      </c>
      <c r="I281" s="2">
        <v>61956000</v>
      </c>
      <c r="J281" s="2" t="str">
        <f>TEXT(Table1[[#This Row],[Date]],"dddd")</f>
        <v>Tuesday</v>
      </c>
      <c r="K281" s="2" t="str">
        <f>TEXT(Table1[[#This Row],[Date]],"mmmm")</f>
        <v>June</v>
      </c>
      <c r="L281" s="3" t="str">
        <f>TEXT(Table1[[#This Row],[Date]],"yyyy")</f>
        <v>2013</v>
      </c>
    </row>
    <row r="282" spans="3:12" x14ac:dyDescent="0.3">
      <c r="C282" s="4">
        <v>41437</v>
      </c>
      <c r="D282" s="5">
        <v>13.829999923706</v>
      </c>
      <c r="E282" s="5">
        <v>13.8400001525878</v>
      </c>
      <c r="F282" s="5">
        <v>13.5225000381469</v>
      </c>
      <c r="G282" s="5">
        <v>13.5834999084472</v>
      </c>
      <c r="H282" s="5">
        <v>13.5834999084472</v>
      </c>
      <c r="I282" s="5">
        <v>44778000</v>
      </c>
      <c r="J282" s="2" t="str">
        <f>TEXT(Table1[[#This Row],[Date]],"dddd")</f>
        <v>Wednesday</v>
      </c>
      <c r="K282" s="5" t="str">
        <f>TEXT(Table1[[#This Row],[Date]],"mmmm")</f>
        <v>June</v>
      </c>
      <c r="L282" s="3" t="str">
        <f>TEXT(Table1[[#This Row],[Date]],"yyyy")</f>
        <v>2013</v>
      </c>
    </row>
    <row r="283" spans="3:12" x14ac:dyDescent="0.3">
      <c r="C283" s="1">
        <v>41438</v>
      </c>
      <c r="D283" s="2">
        <v>13.574999809265099</v>
      </c>
      <c r="E283" s="2">
        <v>13.8400001525878</v>
      </c>
      <c r="F283" s="2">
        <v>13.5144996643066</v>
      </c>
      <c r="G283" s="2">
        <v>13.7895002365112</v>
      </c>
      <c r="H283" s="2">
        <v>13.7895002365112</v>
      </c>
      <c r="I283" s="2">
        <v>52996000</v>
      </c>
      <c r="J283" s="2" t="str">
        <f>TEXT(Table1[[#This Row],[Date]],"dddd")</f>
        <v>Thursday</v>
      </c>
      <c r="K283" s="2" t="str">
        <f>TEXT(Table1[[#This Row],[Date]],"mmmm")</f>
        <v>June</v>
      </c>
      <c r="L283" s="3" t="str">
        <f>TEXT(Table1[[#This Row],[Date]],"yyyy")</f>
        <v>2013</v>
      </c>
    </row>
    <row r="284" spans="3:12" x14ac:dyDescent="0.3">
      <c r="C284" s="4">
        <v>41439</v>
      </c>
      <c r="D284" s="5">
        <v>13.75</v>
      </c>
      <c r="E284" s="5">
        <v>13.8535003662109</v>
      </c>
      <c r="F284" s="5">
        <v>13.671999931335399</v>
      </c>
      <c r="G284" s="5">
        <v>13.699500083923301</v>
      </c>
      <c r="H284" s="5">
        <v>13.699500083923301</v>
      </c>
      <c r="I284" s="5">
        <v>43016000</v>
      </c>
      <c r="J284" s="2" t="str">
        <f>TEXT(Table1[[#This Row],[Date]],"dddd")</f>
        <v>Friday</v>
      </c>
      <c r="K284" s="5" t="str">
        <f>TEXT(Table1[[#This Row],[Date]],"mmmm")</f>
        <v>June</v>
      </c>
      <c r="L284" s="3" t="str">
        <f>TEXT(Table1[[#This Row],[Date]],"yyyy")</f>
        <v>2013</v>
      </c>
    </row>
    <row r="285" spans="3:12" x14ac:dyDescent="0.3">
      <c r="C285" s="1">
        <v>41442</v>
      </c>
      <c r="D285" s="2">
        <v>13.8175001144409</v>
      </c>
      <c r="E285" s="2">
        <v>14.0100002288818</v>
      </c>
      <c r="F285" s="2">
        <v>13.7825002670288</v>
      </c>
      <c r="G285" s="2">
        <v>13.9029998779296</v>
      </c>
      <c r="H285" s="2">
        <v>13.9029998779296</v>
      </c>
      <c r="I285" s="2">
        <v>57680000</v>
      </c>
      <c r="J285" s="2" t="str">
        <f>TEXT(Table1[[#This Row],[Date]],"dddd")</f>
        <v>Monday</v>
      </c>
      <c r="K285" s="2" t="str">
        <f>TEXT(Table1[[#This Row],[Date]],"mmmm")</f>
        <v>June</v>
      </c>
      <c r="L285" s="3" t="str">
        <f>TEXT(Table1[[#This Row],[Date]],"yyyy")</f>
        <v>2013</v>
      </c>
    </row>
    <row r="286" spans="3:12" x14ac:dyDescent="0.3">
      <c r="C286" s="4">
        <v>41443</v>
      </c>
      <c r="D286" s="5">
        <v>13.954000473022401</v>
      </c>
      <c r="E286" s="5">
        <v>14.145500183105399</v>
      </c>
      <c r="F286" s="5">
        <v>13.905500411987299</v>
      </c>
      <c r="G286" s="5">
        <v>14.0880002975463</v>
      </c>
      <c r="H286" s="5">
        <v>14.0880002975463</v>
      </c>
      <c r="I286" s="5">
        <v>42922000</v>
      </c>
      <c r="J286" s="2" t="str">
        <f>TEXT(Table1[[#This Row],[Date]],"dddd")</f>
        <v>Tuesday</v>
      </c>
      <c r="K286" s="5" t="str">
        <f>TEXT(Table1[[#This Row],[Date]],"mmmm")</f>
        <v>June</v>
      </c>
      <c r="L286" s="3" t="str">
        <f>TEXT(Table1[[#This Row],[Date]],"yyyy")</f>
        <v>2013</v>
      </c>
    </row>
    <row r="287" spans="3:12" x14ac:dyDescent="0.3">
      <c r="C287" s="1">
        <v>41444</v>
      </c>
      <c r="D287" s="2">
        <v>14.062999725341699</v>
      </c>
      <c r="E287" s="2">
        <v>14.166999816894499</v>
      </c>
      <c r="F287" s="2">
        <v>13.893500328063899</v>
      </c>
      <c r="G287" s="2">
        <v>13.9079999923706</v>
      </c>
      <c r="H287" s="2">
        <v>13.9079999923706</v>
      </c>
      <c r="I287" s="2">
        <v>56550000</v>
      </c>
      <c r="J287" s="2" t="str">
        <f>TEXT(Table1[[#This Row],[Date]],"dddd")</f>
        <v>Wednesday</v>
      </c>
      <c r="K287" s="2" t="str">
        <f>TEXT(Table1[[#This Row],[Date]],"mmmm")</f>
        <v>June</v>
      </c>
      <c r="L287" s="3" t="str">
        <f>TEXT(Table1[[#This Row],[Date]],"yyyy")</f>
        <v>2013</v>
      </c>
    </row>
    <row r="288" spans="3:12" x14ac:dyDescent="0.3">
      <c r="C288" s="4">
        <v>41445</v>
      </c>
      <c r="D288" s="5">
        <v>13.756999969482401</v>
      </c>
      <c r="E288" s="5">
        <v>13.9300003051757</v>
      </c>
      <c r="F288" s="5">
        <v>13.6195001602172</v>
      </c>
      <c r="G288" s="5">
        <v>13.671999931335399</v>
      </c>
      <c r="H288" s="5">
        <v>13.671999931335399</v>
      </c>
      <c r="I288" s="5">
        <v>59680000</v>
      </c>
      <c r="J288" s="2" t="str">
        <f>TEXT(Table1[[#This Row],[Date]],"dddd")</f>
        <v>Thursday</v>
      </c>
      <c r="K288" s="5" t="str">
        <f>TEXT(Table1[[#This Row],[Date]],"mmmm")</f>
        <v>June</v>
      </c>
      <c r="L288" s="3" t="str">
        <f>TEXT(Table1[[#This Row],[Date]],"yyyy")</f>
        <v>2013</v>
      </c>
    </row>
    <row r="289" spans="3:12" x14ac:dyDescent="0.3">
      <c r="C289" s="1">
        <v>41446</v>
      </c>
      <c r="D289" s="2">
        <v>13.7285003662109</v>
      </c>
      <c r="E289" s="2">
        <v>13.791999816894499</v>
      </c>
      <c r="F289" s="2">
        <v>13.4895000457763</v>
      </c>
      <c r="G289" s="2">
        <v>13.668000221252401</v>
      </c>
      <c r="H289" s="2">
        <v>13.668000221252401</v>
      </c>
      <c r="I289" s="2">
        <v>84020000</v>
      </c>
      <c r="J289" s="2" t="str">
        <f>TEXT(Table1[[#This Row],[Date]],"dddd")</f>
        <v>Friday</v>
      </c>
      <c r="K289" s="2" t="str">
        <f>TEXT(Table1[[#This Row],[Date]],"mmmm")</f>
        <v>June</v>
      </c>
      <c r="L289" s="3" t="str">
        <f>TEXT(Table1[[#This Row],[Date]],"yyyy")</f>
        <v>2013</v>
      </c>
    </row>
    <row r="290" spans="3:12" x14ac:dyDescent="0.3">
      <c r="C290" s="4">
        <v>41449</v>
      </c>
      <c r="D290" s="5">
        <v>13.5644998550415</v>
      </c>
      <c r="E290" s="5">
        <v>13.6579999923706</v>
      </c>
      <c r="F290" s="5">
        <v>13.25</v>
      </c>
      <c r="G290" s="5">
        <v>13.530500411987299</v>
      </c>
      <c r="H290" s="5">
        <v>13.530500411987299</v>
      </c>
      <c r="I290" s="5">
        <v>77276000</v>
      </c>
      <c r="J290" s="2" t="str">
        <f>TEXT(Table1[[#This Row],[Date]],"dddd")</f>
        <v>Monday</v>
      </c>
      <c r="K290" s="5" t="str">
        <f>TEXT(Table1[[#This Row],[Date]],"mmmm")</f>
        <v>June</v>
      </c>
      <c r="L290" s="3" t="str">
        <f>TEXT(Table1[[#This Row],[Date]],"yyyy")</f>
        <v>2013</v>
      </c>
    </row>
    <row r="291" spans="3:12" x14ac:dyDescent="0.3">
      <c r="C291" s="1">
        <v>41450</v>
      </c>
      <c r="D291" s="2">
        <v>13.6149997711181</v>
      </c>
      <c r="E291" s="2">
        <v>13.673500061035099</v>
      </c>
      <c r="F291" s="2">
        <v>13.449999809265099</v>
      </c>
      <c r="G291" s="2">
        <v>13.604499816894499</v>
      </c>
      <c r="H291" s="2">
        <v>13.604499816894499</v>
      </c>
      <c r="I291" s="2">
        <v>48992000</v>
      </c>
      <c r="J291" s="2" t="str">
        <f>TEXT(Table1[[#This Row],[Date]],"dddd")</f>
        <v>Tuesday</v>
      </c>
      <c r="K291" s="2" t="str">
        <f>TEXT(Table1[[#This Row],[Date]],"mmmm")</f>
        <v>June</v>
      </c>
      <c r="L291" s="3" t="str">
        <f>TEXT(Table1[[#This Row],[Date]],"yyyy")</f>
        <v>2013</v>
      </c>
    </row>
    <row r="292" spans="3:12" x14ac:dyDescent="0.3">
      <c r="C292" s="4">
        <v>41451</v>
      </c>
      <c r="D292" s="5">
        <v>13.6990003585815</v>
      </c>
      <c r="E292" s="5">
        <v>13.8990001678466</v>
      </c>
      <c r="F292" s="5">
        <v>13.675000190734799</v>
      </c>
      <c r="G292" s="5">
        <v>13.8784999847412</v>
      </c>
      <c r="H292" s="5">
        <v>13.8784999847412</v>
      </c>
      <c r="I292" s="5">
        <v>60590000</v>
      </c>
      <c r="J292" s="2" t="str">
        <f>TEXT(Table1[[#This Row],[Date]],"dddd")</f>
        <v>Wednesday</v>
      </c>
      <c r="K292" s="5" t="str">
        <f>TEXT(Table1[[#This Row],[Date]],"mmmm")</f>
        <v>June</v>
      </c>
      <c r="L292" s="3" t="str">
        <f>TEXT(Table1[[#This Row],[Date]],"yyyy")</f>
        <v>2013</v>
      </c>
    </row>
    <row r="293" spans="3:12" x14ac:dyDescent="0.3">
      <c r="C293" s="1">
        <v>41452</v>
      </c>
      <c r="D293" s="2">
        <v>13.958999633789</v>
      </c>
      <c r="E293" s="2">
        <v>14.0100002288818</v>
      </c>
      <c r="F293" s="2">
        <v>13.7270002365112</v>
      </c>
      <c r="G293" s="2">
        <v>13.877499580383301</v>
      </c>
      <c r="H293" s="2">
        <v>13.877499580383301</v>
      </c>
      <c r="I293" s="2">
        <v>50390000</v>
      </c>
      <c r="J293" s="2" t="str">
        <f>TEXT(Table1[[#This Row],[Date]],"dddd")</f>
        <v>Thursday</v>
      </c>
      <c r="K293" s="2" t="str">
        <f>TEXT(Table1[[#This Row],[Date]],"mmmm")</f>
        <v>June</v>
      </c>
      <c r="L293" s="3" t="str">
        <f>TEXT(Table1[[#This Row],[Date]],"yyyy")</f>
        <v>2013</v>
      </c>
    </row>
    <row r="294" spans="3:12" x14ac:dyDescent="0.3">
      <c r="C294" s="4">
        <v>41453</v>
      </c>
      <c r="D294" s="5">
        <v>13.809499740600501</v>
      </c>
      <c r="E294" s="5">
        <v>13.9914999008178</v>
      </c>
      <c r="F294" s="5">
        <v>13.809499740600501</v>
      </c>
      <c r="G294" s="5">
        <v>13.8844995498657</v>
      </c>
      <c r="H294" s="5">
        <v>13.8844995498657</v>
      </c>
      <c r="I294" s="5">
        <v>63866000</v>
      </c>
      <c r="J294" s="2" t="str">
        <f>TEXT(Table1[[#This Row],[Date]],"dddd")</f>
        <v>Friday</v>
      </c>
      <c r="K294" s="5" t="str">
        <f>TEXT(Table1[[#This Row],[Date]],"mmmm")</f>
        <v>June</v>
      </c>
      <c r="L294" s="3" t="str">
        <f>TEXT(Table1[[#This Row],[Date]],"yyyy")</f>
        <v>2013</v>
      </c>
    </row>
    <row r="295" spans="3:12" x14ac:dyDescent="0.3">
      <c r="C295" s="1">
        <v>41456</v>
      </c>
      <c r="D295" s="2">
        <v>13.949999809265099</v>
      </c>
      <c r="E295" s="2">
        <v>14.1645002365112</v>
      </c>
      <c r="F295" s="2">
        <v>13.8579998016357</v>
      </c>
      <c r="G295" s="2">
        <v>14.1049995422363</v>
      </c>
      <c r="H295" s="2">
        <v>14.1049995422363</v>
      </c>
      <c r="I295" s="2">
        <v>57764000</v>
      </c>
      <c r="J295" s="2" t="str">
        <f>TEXT(Table1[[#This Row],[Date]],"dddd")</f>
        <v>Monday</v>
      </c>
      <c r="K295" s="2" t="str">
        <f>TEXT(Table1[[#This Row],[Date]],"mmmm")</f>
        <v>July</v>
      </c>
      <c r="L295" s="3" t="str">
        <f>TEXT(Table1[[#This Row],[Date]],"yyyy")</f>
        <v>2013</v>
      </c>
    </row>
    <row r="296" spans="3:12" x14ac:dyDescent="0.3">
      <c r="C296" s="4">
        <v>41457</v>
      </c>
      <c r="D296" s="5">
        <v>14.0520000457763</v>
      </c>
      <c r="E296" s="5">
        <v>14.329000473022401</v>
      </c>
      <c r="F296" s="5">
        <v>14.0295000076293</v>
      </c>
      <c r="G296" s="5">
        <v>14.186499595641999</v>
      </c>
      <c r="H296" s="5">
        <v>14.186499595641999</v>
      </c>
      <c r="I296" s="5">
        <v>64764000</v>
      </c>
      <c r="J296" s="2" t="str">
        <f>TEXT(Table1[[#This Row],[Date]],"dddd")</f>
        <v>Tuesday</v>
      </c>
      <c r="K296" s="5" t="str">
        <f>TEXT(Table1[[#This Row],[Date]],"mmmm")</f>
        <v>July</v>
      </c>
      <c r="L296" s="3" t="str">
        <f>TEXT(Table1[[#This Row],[Date]],"yyyy")</f>
        <v>2013</v>
      </c>
    </row>
    <row r="297" spans="3:12" x14ac:dyDescent="0.3">
      <c r="C297" s="1">
        <v>41458</v>
      </c>
      <c r="D297" s="2">
        <v>14.1000003814697</v>
      </c>
      <c r="E297" s="2">
        <v>14.270000457763601</v>
      </c>
      <c r="F297" s="2">
        <v>14.1000003814697</v>
      </c>
      <c r="G297" s="2">
        <v>14.201499938964799</v>
      </c>
      <c r="H297" s="2">
        <v>14.201499938964799</v>
      </c>
      <c r="I297" s="2">
        <v>27460000</v>
      </c>
      <c r="J297" s="2" t="str">
        <f>TEXT(Table1[[#This Row],[Date]],"dddd")</f>
        <v>Wednesday</v>
      </c>
      <c r="K297" s="2" t="str">
        <f>TEXT(Table1[[#This Row],[Date]],"mmmm")</f>
        <v>July</v>
      </c>
      <c r="L297" s="3" t="str">
        <f>TEXT(Table1[[#This Row],[Date]],"yyyy")</f>
        <v>2013</v>
      </c>
    </row>
    <row r="298" spans="3:12" x14ac:dyDescent="0.3">
      <c r="C298" s="4">
        <v>41460</v>
      </c>
      <c r="D298" s="5">
        <v>14.25</v>
      </c>
      <c r="E298" s="5">
        <v>14.3190002441406</v>
      </c>
      <c r="F298" s="5">
        <v>14.1035003662109</v>
      </c>
      <c r="G298" s="5">
        <v>14.293999671936</v>
      </c>
      <c r="H298" s="5">
        <v>14.293999671936</v>
      </c>
      <c r="I298" s="5">
        <v>39708000</v>
      </c>
      <c r="J298" s="2" t="str">
        <f>TEXT(Table1[[#This Row],[Date]],"dddd")</f>
        <v>Friday</v>
      </c>
      <c r="K298" s="5" t="str">
        <f>TEXT(Table1[[#This Row],[Date]],"mmmm")</f>
        <v>July</v>
      </c>
      <c r="L298" s="3" t="str">
        <f>TEXT(Table1[[#This Row],[Date]],"yyyy")</f>
        <v>2013</v>
      </c>
    </row>
    <row r="299" spans="3:12" x14ac:dyDescent="0.3">
      <c r="C299" s="1">
        <v>41463</v>
      </c>
      <c r="D299" s="2">
        <v>14.3210000991821</v>
      </c>
      <c r="E299" s="2">
        <v>14.5834999084472</v>
      </c>
      <c r="F299" s="2">
        <v>14.3070001602172</v>
      </c>
      <c r="G299" s="2">
        <v>14.5295000076293</v>
      </c>
      <c r="H299" s="2">
        <v>14.5295000076293</v>
      </c>
      <c r="I299" s="2">
        <v>60934000</v>
      </c>
      <c r="J299" s="2" t="str">
        <f>TEXT(Table1[[#This Row],[Date]],"dddd")</f>
        <v>Monday</v>
      </c>
      <c r="K299" s="2" t="str">
        <f>TEXT(Table1[[#This Row],[Date]],"mmmm")</f>
        <v>July</v>
      </c>
      <c r="L299" s="3" t="str">
        <f>TEXT(Table1[[#This Row],[Date]],"yyyy")</f>
        <v>2013</v>
      </c>
    </row>
    <row r="300" spans="3:12" x14ac:dyDescent="0.3">
      <c r="C300" s="4">
        <v>41464</v>
      </c>
      <c r="D300" s="5">
        <v>14.550000190734799</v>
      </c>
      <c r="E300" s="5">
        <v>14.6284999847412</v>
      </c>
      <c r="F300" s="5">
        <v>14.4005002975463</v>
      </c>
      <c r="G300" s="5">
        <v>14.576499938964799</v>
      </c>
      <c r="H300" s="5">
        <v>14.576499938964799</v>
      </c>
      <c r="I300" s="5">
        <v>55512000</v>
      </c>
      <c r="J300" s="2" t="str">
        <f>TEXT(Table1[[#This Row],[Date]],"dddd")</f>
        <v>Tuesday</v>
      </c>
      <c r="K300" s="5" t="str">
        <f>TEXT(Table1[[#This Row],[Date]],"mmmm")</f>
        <v>July</v>
      </c>
      <c r="L300" s="3" t="str">
        <f>TEXT(Table1[[#This Row],[Date]],"yyyy")</f>
        <v>2013</v>
      </c>
    </row>
    <row r="301" spans="3:12" x14ac:dyDescent="0.3">
      <c r="C301" s="1">
        <v>41465</v>
      </c>
      <c r="D301" s="2">
        <v>14.5705003738403</v>
      </c>
      <c r="E301" s="2">
        <v>14.666999816894499</v>
      </c>
      <c r="F301" s="2">
        <v>14.4700002670288</v>
      </c>
      <c r="G301" s="2">
        <v>14.6164999008178</v>
      </c>
      <c r="H301" s="2">
        <v>14.6164999008178</v>
      </c>
      <c r="I301" s="2">
        <v>36204000</v>
      </c>
      <c r="J301" s="2" t="str">
        <f>TEXT(Table1[[#This Row],[Date]],"dddd")</f>
        <v>Wednesday</v>
      </c>
      <c r="K301" s="2" t="str">
        <f>TEXT(Table1[[#This Row],[Date]],"mmmm")</f>
        <v>July</v>
      </c>
      <c r="L301" s="3" t="str">
        <f>TEXT(Table1[[#This Row],[Date]],"yyyy")</f>
        <v>2013</v>
      </c>
    </row>
    <row r="302" spans="3:12" x14ac:dyDescent="0.3">
      <c r="C302" s="4">
        <v>41466</v>
      </c>
      <c r="D302" s="5">
        <v>14.7495002746582</v>
      </c>
      <c r="E302" s="5">
        <v>15.0345001220703</v>
      </c>
      <c r="F302" s="5">
        <v>14.6049995422363</v>
      </c>
      <c r="G302" s="5">
        <v>14.9829998016357</v>
      </c>
      <c r="H302" s="5">
        <v>14.9829998016357</v>
      </c>
      <c r="I302" s="5">
        <v>80146000</v>
      </c>
      <c r="J302" s="2" t="str">
        <f>TEXT(Table1[[#This Row],[Date]],"dddd")</f>
        <v>Thursday</v>
      </c>
      <c r="K302" s="5" t="str">
        <f>TEXT(Table1[[#This Row],[Date]],"mmmm")</f>
        <v>July</v>
      </c>
      <c r="L302" s="3" t="str">
        <f>TEXT(Table1[[#This Row],[Date]],"yyyy")</f>
        <v>2013</v>
      </c>
    </row>
    <row r="303" spans="3:12" x14ac:dyDescent="0.3">
      <c r="C303" s="1">
        <v>41467</v>
      </c>
      <c r="D303" s="2">
        <v>14.934499740600501</v>
      </c>
      <c r="E303" s="2">
        <v>15.377499580383301</v>
      </c>
      <c r="F303" s="2">
        <v>14.925000190734799</v>
      </c>
      <c r="G303" s="2">
        <v>15.377499580383301</v>
      </c>
      <c r="H303" s="2">
        <v>15.377499580383301</v>
      </c>
      <c r="I303" s="2">
        <v>90786000</v>
      </c>
      <c r="J303" s="2" t="str">
        <f>TEXT(Table1[[#This Row],[Date]],"dddd")</f>
        <v>Friday</v>
      </c>
      <c r="K303" s="2" t="str">
        <f>TEXT(Table1[[#This Row],[Date]],"mmmm")</f>
        <v>July</v>
      </c>
      <c r="L303" s="3" t="str">
        <f>TEXT(Table1[[#This Row],[Date]],"yyyy")</f>
        <v>2013</v>
      </c>
    </row>
    <row r="304" spans="3:12" x14ac:dyDescent="0.3">
      <c r="C304" s="4">
        <v>41470</v>
      </c>
      <c r="D304" s="5">
        <v>15.3634996414184</v>
      </c>
      <c r="E304" s="5">
        <v>15.3994998931884</v>
      </c>
      <c r="F304" s="5">
        <v>15.217499732971101</v>
      </c>
      <c r="G304" s="5">
        <v>15.3284997940063</v>
      </c>
      <c r="H304" s="5">
        <v>15.3284997940063</v>
      </c>
      <c r="I304" s="5">
        <v>44912000</v>
      </c>
      <c r="J304" s="2" t="str">
        <f>TEXT(Table1[[#This Row],[Date]],"dddd")</f>
        <v>Monday</v>
      </c>
      <c r="K304" s="5" t="str">
        <f>TEXT(Table1[[#This Row],[Date]],"mmmm")</f>
        <v>July</v>
      </c>
      <c r="L304" s="3" t="str">
        <f>TEXT(Table1[[#This Row],[Date]],"yyyy")</f>
        <v>2013</v>
      </c>
    </row>
    <row r="305" spans="3:12" x14ac:dyDescent="0.3">
      <c r="C305" s="1">
        <v>41471</v>
      </c>
      <c r="D305" s="2">
        <v>15.3649997711181</v>
      </c>
      <c r="E305" s="2">
        <v>15.469499588012599</v>
      </c>
      <c r="F305" s="2">
        <v>15.2755002975463</v>
      </c>
      <c r="G305" s="2">
        <v>15.3435001373291</v>
      </c>
      <c r="H305" s="2">
        <v>15.3435001373291</v>
      </c>
      <c r="I305" s="2">
        <v>53204000</v>
      </c>
      <c r="J305" s="2" t="str">
        <f>TEXT(Table1[[#This Row],[Date]],"dddd")</f>
        <v>Tuesday</v>
      </c>
      <c r="K305" s="2" t="str">
        <f>TEXT(Table1[[#This Row],[Date]],"mmmm")</f>
        <v>July</v>
      </c>
      <c r="L305" s="3" t="str">
        <f>TEXT(Table1[[#This Row],[Date]],"yyyy")</f>
        <v>2013</v>
      </c>
    </row>
    <row r="306" spans="3:12" x14ac:dyDescent="0.3">
      <c r="C306" s="4">
        <v>41472</v>
      </c>
      <c r="D306" s="5">
        <v>15.34850025177</v>
      </c>
      <c r="E306" s="5">
        <v>15.439999580383301</v>
      </c>
      <c r="F306" s="5">
        <v>15.2845001220703</v>
      </c>
      <c r="G306" s="5">
        <v>15.434499740600501</v>
      </c>
      <c r="H306" s="5">
        <v>15.434499740600501</v>
      </c>
      <c r="I306" s="5">
        <v>40594000</v>
      </c>
      <c r="J306" s="2" t="str">
        <f>TEXT(Table1[[#This Row],[Date]],"dddd")</f>
        <v>Wednesday</v>
      </c>
      <c r="K306" s="5" t="str">
        <f>TEXT(Table1[[#This Row],[Date]],"mmmm")</f>
        <v>July</v>
      </c>
      <c r="L306" s="3" t="str">
        <f>TEXT(Table1[[#This Row],[Date]],"yyyy")</f>
        <v>2013</v>
      </c>
    </row>
    <row r="307" spans="3:12" x14ac:dyDescent="0.3">
      <c r="C307" s="1">
        <v>41473</v>
      </c>
      <c r="D307" s="2">
        <v>15.313500404357899</v>
      </c>
      <c r="E307" s="2">
        <v>15.3170003890991</v>
      </c>
      <c r="F307" s="2">
        <v>15.0935001373291</v>
      </c>
      <c r="G307" s="2">
        <v>15.2054996490478</v>
      </c>
      <c r="H307" s="2">
        <v>15.2054996490478</v>
      </c>
      <c r="I307" s="2">
        <v>61276000</v>
      </c>
      <c r="J307" s="2" t="str">
        <f>TEXT(Table1[[#This Row],[Date]],"dddd")</f>
        <v>Thursday</v>
      </c>
      <c r="K307" s="2" t="str">
        <f>TEXT(Table1[[#This Row],[Date]],"mmmm")</f>
        <v>July</v>
      </c>
      <c r="L307" s="3" t="str">
        <f>TEXT(Table1[[#This Row],[Date]],"yyyy")</f>
        <v>2013</v>
      </c>
    </row>
    <row r="308" spans="3:12" x14ac:dyDescent="0.3">
      <c r="C308" s="4">
        <v>41474</v>
      </c>
      <c r="D308" s="5">
        <v>15.219499588012599</v>
      </c>
      <c r="E308" s="5">
        <v>15.2895002365112</v>
      </c>
      <c r="F308" s="5">
        <v>15.0954999923706</v>
      </c>
      <c r="G308" s="5">
        <v>15.2615003585815</v>
      </c>
      <c r="H308" s="5">
        <v>15.2615003585815</v>
      </c>
      <c r="I308" s="5">
        <v>59462000</v>
      </c>
      <c r="J308" s="2" t="str">
        <f>TEXT(Table1[[#This Row],[Date]],"dddd")</f>
        <v>Friday</v>
      </c>
      <c r="K308" s="5" t="str">
        <f>TEXT(Table1[[#This Row],[Date]],"mmmm")</f>
        <v>July</v>
      </c>
      <c r="L308" s="3" t="str">
        <f>TEXT(Table1[[#This Row],[Date]],"yyyy")</f>
        <v>2013</v>
      </c>
    </row>
    <row r="309" spans="3:12" x14ac:dyDescent="0.3">
      <c r="C309" s="1">
        <v>41477</v>
      </c>
      <c r="D309" s="2">
        <v>15.462499618530201</v>
      </c>
      <c r="E309" s="2">
        <v>15.462499618530201</v>
      </c>
      <c r="F309" s="2">
        <v>15.1000003814697</v>
      </c>
      <c r="G309" s="2">
        <v>15.1739997863769</v>
      </c>
      <c r="H309" s="2">
        <v>15.1739997863769</v>
      </c>
      <c r="I309" s="2">
        <v>50414000</v>
      </c>
      <c r="J309" s="2" t="str">
        <f>TEXT(Table1[[#This Row],[Date]],"dddd")</f>
        <v>Monday</v>
      </c>
      <c r="K309" s="2" t="str">
        <f>TEXT(Table1[[#This Row],[Date]],"mmmm")</f>
        <v>July</v>
      </c>
      <c r="L309" s="3" t="str">
        <f>TEXT(Table1[[#This Row],[Date]],"yyyy")</f>
        <v>2013</v>
      </c>
    </row>
    <row r="310" spans="3:12" x14ac:dyDescent="0.3">
      <c r="C310" s="4">
        <v>41478</v>
      </c>
      <c r="D310" s="5">
        <v>15.1579999923706</v>
      </c>
      <c r="E310" s="5">
        <v>15.2530002593994</v>
      </c>
      <c r="F310" s="5">
        <v>15.0279998779296</v>
      </c>
      <c r="G310" s="5">
        <v>15.053000450134199</v>
      </c>
      <c r="H310" s="5">
        <v>15.053000450134199</v>
      </c>
      <c r="I310" s="5">
        <v>39992000</v>
      </c>
      <c r="J310" s="2" t="str">
        <f>TEXT(Table1[[#This Row],[Date]],"dddd")</f>
        <v>Tuesday</v>
      </c>
      <c r="K310" s="5" t="str">
        <f>TEXT(Table1[[#This Row],[Date]],"mmmm")</f>
        <v>July</v>
      </c>
      <c r="L310" s="3" t="str">
        <f>TEXT(Table1[[#This Row],[Date]],"yyyy")</f>
        <v>2013</v>
      </c>
    </row>
    <row r="311" spans="3:12" x14ac:dyDescent="0.3">
      <c r="C311" s="1">
        <v>41479</v>
      </c>
      <c r="D311" s="2">
        <v>15.1510000228881</v>
      </c>
      <c r="E311" s="2">
        <v>15.1920003890991</v>
      </c>
      <c r="F311" s="2">
        <v>14.902000427246</v>
      </c>
      <c r="G311" s="2">
        <v>14.9469995498657</v>
      </c>
      <c r="H311" s="2">
        <v>14.9469995498657</v>
      </c>
      <c r="I311" s="2">
        <v>40010000</v>
      </c>
      <c r="J311" s="2" t="str">
        <f>TEXT(Table1[[#This Row],[Date]],"dddd")</f>
        <v>Wednesday</v>
      </c>
      <c r="K311" s="2" t="str">
        <f>TEXT(Table1[[#This Row],[Date]],"mmmm")</f>
        <v>July</v>
      </c>
      <c r="L311" s="3" t="str">
        <f>TEXT(Table1[[#This Row],[Date]],"yyyy")</f>
        <v>2013</v>
      </c>
    </row>
    <row r="312" spans="3:12" x14ac:dyDescent="0.3">
      <c r="C312" s="4">
        <v>41480</v>
      </c>
      <c r="D312" s="5">
        <v>14.949999809265099</v>
      </c>
      <c r="E312" s="5">
        <v>15.2250003814697</v>
      </c>
      <c r="F312" s="5">
        <v>14.837499618530201</v>
      </c>
      <c r="G312" s="5">
        <v>15.170000076293899</v>
      </c>
      <c r="H312" s="5">
        <v>15.170000076293899</v>
      </c>
      <c r="I312" s="5">
        <v>108116000</v>
      </c>
      <c r="J312" s="2" t="str">
        <f>TEXT(Table1[[#This Row],[Date]],"dddd")</f>
        <v>Thursday</v>
      </c>
      <c r="K312" s="5" t="str">
        <f>TEXT(Table1[[#This Row],[Date]],"mmmm")</f>
        <v>July</v>
      </c>
      <c r="L312" s="3" t="str">
        <f>TEXT(Table1[[#This Row],[Date]],"yyyy")</f>
        <v>2013</v>
      </c>
    </row>
    <row r="313" spans="3:12" x14ac:dyDescent="0.3">
      <c r="C313" s="1">
        <v>41481</v>
      </c>
      <c r="D313" s="2">
        <v>14.977499961853001</v>
      </c>
      <c r="E313" s="2">
        <v>15.6809997558593</v>
      </c>
      <c r="F313" s="2">
        <v>14.7775001525878</v>
      </c>
      <c r="G313" s="2">
        <v>15.6005001068115</v>
      </c>
      <c r="H313" s="2">
        <v>15.6005001068115</v>
      </c>
      <c r="I313" s="2">
        <v>176350000</v>
      </c>
      <c r="J313" s="2" t="str">
        <f>TEXT(Table1[[#This Row],[Date]],"dddd")</f>
        <v>Friday</v>
      </c>
      <c r="K313" s="2" t="str">
        <f>TEXT(Table1[[#This Row],[Date]],"mmmm")</f>
        <v>July</v>
      </c>
      <c r="L313" s="3" t="str">
        <f>TEXT(Table1[[#This Row],[Date]],"yyyy")</f>
        <v>2013</v>
      </c>
    </row>
    <row r="314" spans="3:12" x14ac:dyDescent="0.3">
      <c r="C314" s="4">
        <v>41484</v>
      </c>
      <c r="D314" s="5">
        <v>15.553500175476</v>
      </c>
      <c r="E314" s="5">
        <v>15.649999618530201</v>
      </c>
      <c r="F314" s="5">
        <v>15.295000076293899</v>
      </c>
      <c r="G314" s="5">
        <v>15.3050003051757</v>
      </c>
      <c r="H314" s="5">
        <v>15.3050003051757</v>
      </c>
      <c r="I314" s="5">
        <v>64236000</v>
      </c>
      <c r="J314" s="2" t="str">
        <f>TEXT(Table1[[#This Row],[Date]],"dddd")</f>
        <v>Monday</v>
      </c>
      <c r="K314" s="5" t="str">
        <f>TEXT(Table1[[#This Row],[Date]],"mmmm")</f>
        <v>July</v>
      </c>
      <c r="L314" s="3" t="str">
        <f>TEXT(Table1[[#This Row],[Date]],"yyyy")</f>
        <v>2013</v>
      </c>
    </row>
    <row r="315" spans="3:12" x14ac:dyDescent="0.3">
      <c r="C315" s="1">
        <v>41485</v>
      </c>
      <c r="D315" s="2">
        <v>15.385999679565399</v>
      </c>
      <c r="E315" s="2">
        <v>15.489000320434499</v>
      </c>
      <c r="F315" s="2">
        <v>15.0784997940063</v>
      </c>
      <c r="G315" s="2">
        <v>15.120499610900801</v>
      </c>
      <c r="H315" s="2">
        <v>15.120499610900801</v>
      </c>
      <c r="I315" s="2">
        <v>61068000</v>
      </c>
      <c r="J315" s="2" t="str">
        <f>TEXT(Table1[[#This Row],[Date]],"dddd")</f>
        <v>Tuesday</v>
      </c>
      <c r="K315" s="2" t="str">
        <f>TEXT(Table1[[#This Row],[Date]],"mmmm")</f>
        <v>July</v>
      </c>
      <c r="L315" s="3" t="str">
        <f>TEXT(Table1[[#This Row],[Date]],"yyyy")</f>
        <v>2013</v>
      </c>
    </row>
    <row r="316" spans="3:12" x14ac:dyDescent="0.3">
      <c r="C316" s="4">
        <v>41486</v>
      </c>
      <c r="D316" s="5">
        <v>15.1955003738403</v>
      </c>
      <c r="E316" s="5">
        <v>15.257499694824199</v>
      </c>
      <c r="F316" s="5">
        <v>15.050000190734799</v>
      </c>
      <c r="G316" s="5">
        <v>15.060999870300201</v>
      </c>
      <c r="H316" s="5">
        <v>15.060999870300201</v>
      </c>
      <c r="I316" s="5">
        <v>37826000</v>
      </c>
      <c r="J316" s="2" t="str">
        <f>TEXT(Table1[[#This Row],[Date]],"dddd")</f>
        <v>Wednesday</v>
      </c>
      <c r="K316" s="5" t="str">
        <f>TEXT(Table1[[#This Row],[Date]],"mmmm")</f>
        <v>July</v>
      </c>
      <c r="L316" s="3" t="str">
        <f>TEXT(Table1[[#This Row],[Date]],"yyyy")</f>
        <v>2013</v>
      </c>
    </row>
    <row r="317" spans="3:12" x14ac:dyDescent="0.3">
      <c r="C317" s="1">
        <v>41487</v>
      </c>
      <c r="D317" s="2">
        <v>15.1540002822875</v>
      </c>
      <c r="E317" s="2">
        <v>15.3105001449584</v>
      </c>
      <c r="F317" s="2">
        <v>14.944999694824199</v>
      </c>
      <c r="G317" s="2">
        <v>15.278499603271401</v>
      </c>
      <c r="H317" s="2">
        <v>15.278499603271401</v>
      </c>
      <c r="I317" s="2">
        <v>59434000</v>
      </c>
      <c r="J317" s="2" t="str">
        <f>TEXT(Table1[[#This Row],[Date]],"dddd")</f>
        <v>Thursday</v>
      </c>
      <c r="K317" s="2" t="str">
        <f>TEXT(Table1[[#This Row],[Date]],"mmmm")</f>
        <v>August</v>
      </c>
      <c r="L317" s="3" t="str">
        <f>TEXT(Table1[[#This Row],[Date]],"yyyy")</f>
        <v>2013</v>
      </c>
    </row>
    <row r="318" spans="3:12" x14ac:dyDescent="0.3">
      <c r="C318" s="4">
        <v>41488</v>
      </c>
      <c r="D318" s="5">
        <v>15.231499671936</v>
      </c>
      <c r="E318" s="5">
        <v>15.266500473022401</v>
      </c>
      <c r="F318" s="5">
        <v>15.074999809265099</v>
      </c>
      <c r="G318" s="5">
        <v>15.2104997634887</v>
      </c>
      <c r="H318" s="5">
        <v>15.2104997634887</v>
      </c>
      <c r="I318" s="5">
        <v>50052000</v>
      </c>
      <c r="J318" s="2" t="str">
        <f>TEXT(Table1[[#This Row],[Date]],"dddd")</f>
        <v>Friday</v>
      </c>
      <c r="K318" s="5" t="str">
        <f>TEXT(Table1[[#This Row],[Date]],"mmmm")</f>
        <v>August</v>
      </c>
      <c r="L318" s="3" t="str">
        <f>TEXT(Table1[[#This Row],[Date]],"yyyy")</f>
        <v>2013</v>
      </c>
    </row>
    <row r="319" spans="3:12" x14ac:dyDescent="0.3">
      <c r="C319" s="1">
        <v>41491</v>
      </c>
      <c r="D319" s="2">
        <v>15.170000076293899</v>
      </c>
      <c r="E319" s="2">
        <v>15.1809997558593</v>
      </c>
      <c r="F319" s="2">
        <v>14.914999961853001</v>
      </c>
      <c r="G319" s="2">
        <v>15.049500465393001</v>
      </c>
      <c r="H319" s="2">
        <v>15.049500465393001</v>
      </c>
      <c r="I319" s="2">
        <v>44664000</v>
      </c>
      <c r="J319" s="2" t="str">
        <f>TEXT(Table1[[#This Row],[Date]],"dddd")</f>
        <v>Monday</v>
      </c>
      <c r="K319" s="2" t="str">
        <f>TEXT(Table1[[#This Row],[Date]],"mmmm")</f>
        <v>August</v>
      </c>
      <c r="L319" s="3" t="str">
        <f>TEXT(Table1[[#This Row],[Date]],"yyyy")</f>
        <v>2013</v>
      </c>
    </row>
    <row r="320" spans="3:12" x14ac:dyDescent="0.3">
      <c r="C320" s="4">
        <v>41492</v>
      </c>
      <c r="D320" s="5">
        <v>15.0255002975463</v>
      </c>
      <c r="E320" s="5">
        <v>15.067999839782701</v>
      </c>
      <c r="F320" s="5">
        <v>14.876000404357899</v>
      </c>
      <c r="G320" s="5">
        <v>15.0375003814697</v>
      </c>
      <c r="H320" s="5">
        <v>15.0375003814697</v>
      </c>
      <c r="I320" s="5">
        <v>36980000</v>
      </c>
      <c r="J320" s="2" t="str">
        <f>TEXT(Table1[[#This Row],[Date]],"dddd")</f>
        <v>Tuesday</v>
      </c>
      <c r="K320" s="5" t="str">
        <f>TEXT(Table1[[#This Row],[Date]],"mmmm")</f>
        <v>August</v>
      </c>
      <c r="L320" s="3" t="str">
        <f>TEXT(Table1[[#This Row],[Date]],"yyyy")</f>
        <v>2013</v>
      </c>
    </row>
    <row r="321" spans="3:12" x14ac:dyDescent="0.3">
      <c r="C321" s="1">
        <v>41493</v>
      </c>
      <c r="D321" s="2">
        <v>15.007499694824199</v>
      </c>
      <c r="E321" s="2">
        <v>15.049500465393001</v>
      </c>
      <c r="F321" s="2">
        <v>14.807499885559</v>
      </c>
      <c r="G321" s="2">
        <v>14.8454999923706</v>
      </c>
      <c r="H321" s="2">
        <v>14.8454999923706</v>
      </c>
      <c r="I321" s="2">
        <v>39220000</v>
      </c>
      <c r="J321" s="2" t="str">
        <f>TEXT(Table1[[#This Row],[Date]],"dddd")</f>
        <v>Wednesday</v>
      </c>
      <c r="K321" s="2" t="str">
        <f>TEXT(Table1[[#This Row],[Date]],"mmmm")</f>
        <v>August</v>
      </c>
      <c r="L321" s="3" t="str">
        <f>TEXT(Table1[[#This Row],[Date]],"yyyy")</f>
        <v>2013</v>
      </c>
    </row>
    <row r="322" spans="3:12" x14ac:dyDescent="0.3">
      <c r="C322" s="4">
        <v>41494</v>
      </c>
      <c r="D322" s="5">
        <v>14.9259996414184</v>
      </c>
      <c r="E322" s="5">
        <v>14.9259996414184</v>
      </c>
      <c r="F322" s="5">
        <v>14.627499580383301</v>
      </c>
      <c r="G322" s="5">
        <v>14.786999702453601</v>
      </c>
      <c r="H322" s="5">
        <v>14.786999702453601</v>
      </c>
      <c r="I322" s="5">
        <v>46868000</v>
      </c>
      <c r="J322" s="2" t="str">
        <f>TEXT(Table1[[#This Row],[Date]],"dddd")</f>
        <v>Thursday</v>
      </c>
      <c r="K322" s="5" t="str">
        <f>TEXT(Table1[[#This Row],[Date]],"mmmm")</f>
        <v>August</v>
      </c>
      <c r="L322" s="3" t="str">
        <f>TEXT(Table1[[#This Row],[Date]],"yyyy")</f>
        <v>2013</v>
      </c>
    </row>
    <row r="323" spans="3:12" x14ac:dyDescent="0.3">
      <c r="C323" s="1">
        <v>41495</v>
      </c>
      <c r="D323" s="2">
        <v>14.7840003967285</v>
      </c>
      <c r="E323" s="2">
        <v>14.9635000228881</v>
      </c>
      <c r="F323" s="2">
        <v>14.7150001525878</v>
      </c>
      <c r="G323" s="2">
        <v>14.8629999160766</v>
      </c>
      <c r="H323" s="2">
        <v>14.8629999160766</v>
      </c>
      <c r="I323" s="2">
        <v>39006000</v>
      </c>
      <c r="J323" s="2" t="str">
        <f>TEXT(Table1[[#This Row],[Date]],"dddd")</f>
        <v>Friday</v>
      </c>
      <c r="K323" s="2" t="str">
        <f>TEXT(Table1[[#This Row],[Date]],"mmmm")</f>
        <v>August</v>
      </c>
      <c r="L323" s="3" t="str">
        <f>TEXT(Table1[[#This Row],[Date]],"yyyy")</f>
        <v>2013</v>
      </c>
    </row>
    <row r="324" spans="3:12" x14ac:dyDescent="0.3">
      <c r="C324" s="4">
        <v>41498</v>
      </c>
      <c r="D324" s="5">
        <v>14.7895002365112</v>
      </c>
      <c r="E324" s="5">
        <v>14.954000473022401</v>
      </c>
      <c r="F324" s="5">
        <v>14.7629995346069</v>
      </c>
      <c r="G324" s="5">
        <v>14.834500312805099</v>
      </c>
      <c r="H324" s="5">
        <v>14.834500312805099</v>
      </c>
      <c r="I324" s="5">
        <v>30090000</v>
      </c>
      <c r="J324" s="2" t="str">
        <f>TEXT(Table1[[#This Row],[Date]],"dddd")</f>
        <v>Monday</v>
      </c>
      <c r="K324" s="5" t="str">
        <f>TEXT(Table1[[#This Row],[Date]],"mmmm")</f>
        <v>August</v>
      </c>
      <c r="L324" s="3" t="str">
        <f>TEXT(Table1[[#This Row],[Date]],"yyyy")</f>
        <v>2013</v>
      </c>
    </row>
    <row r="325" spans="3:12" x14ac:dyDescent="0.3">
      <c r="C325" s="1">
        <v>41499</v>
      </c>
      <c r="D325" s="2">
        <v>14.793999671936</v>
      </c>
      <c r="E325" s="2">
        <v>14.818499565124499</v>
      </c>
      <c r="F325" s="2">
        <v>14.533499717712401</v>
      </c>
      <c r="G325" s="2">
        <v>14.698499679565399</v>
      </c>
      <c r="H325" s="2">
        <v>14.698499679565399</v>
      </c>
      <c r="I325" s="2">
        <v>46998000</v>
      </c>
      <c r="J325" s="2" t="str">
        <f>TEXT(Table1[[#This Row],[Date]],"dddd")</f>
        <v>Tuesday</v>
      </c>
      <c r="K325" s="2" t="str">
        <f>TEXT(Table1[[#This Row],[Date]],"mmmm")</f>
        <v>August</v>
      </c>
      <c r="L325" s="3" t="str">
        <f>TEXT(Table1[[#This Row],[Date]],"yyyy")</f>
        <v>2013</v>
      </c>
    </row>
    <row r="326" spans="3:12" x14ac:dyDescent="0.3">
      <c r="C326" s="4">
        <v>41500</v>
      </c>
      <c r="D326" s="5">
        <v>14.714500427246</v>
      </c>
      <c r="E326" s="5">
        <v>14.714500427246</v>
      </c>
      <c r="F326" s="5">
        <v>14.527000427246</v>
      </c>
      <c r="G326" s="5">
        <v>14.5670003890991</v>
      </c>
      <c r="H326" s="5">
        <v>14.5670003890991</v>
      </c>
      <c r="I326" s="5">
        <v>28300000</v>
      </c>
      <c r="J326" s="2" t="str">
        <f>TEXT(Table1[[#This Row],[Date]],"dddd")</f>
        <v>Wednesday</v>
      </c>
      <c r="K326" s="5" t="str">
        <f>TEXT(Table1[[#This Row],[Date]],"mmmm")</f>
        <v>August</v>
      </c>
      <c r="L326" s="3" t="str">
        <f>TEXT(Table1[[#This Row],[Date]],"yyyy")</f>
        <v>2013</v>
      </c>
    </row>
    <row r="327" spans="3:12" x14ac:dyDescent="0.3">
      <c r="C327" s="1">
        <v>41501</v>
      </c>
      <c r="D327" s="2">
        <v>14.4394998550415</v>
      </c>
      <c r="E327" s="2">
        <v>14.4650001525878</v>
      </c>
      <c r="F327" s="2">
        <v>14.257499694824199</v>
      </c>
      <c r="G327" s="2">
        <v>14.323499679565399</v>
      </c>
      <c r="H327" s="2">
        <v>14.323499679565399</v>
      </c>
      <c r="I327" s="2">
        <v>45228000</v>
      </c>
      <c r="J327" s="2" t="str">
        <f>TEXT(Table1[[#This Row],[Date]],"dddd")</f>
        <v>Thursday</v>
      </c>
      <c r="K327" s="2" t="str">
        <f>TEXT(Table1[[#This Row],[Date]],"mmmm")</f>
        <v>August</v>
      </c>
      <c r="L327" s="3" t="str">
        <f>TEXT(Table1[[#This Row],[Date]],"yyyy")</f>
        <v>2013</v>
      </c>
    </row>
    <row r="328" spans="3:12" x14ac:dyDescent="0.3">
      <c r="C328" s="4">
        <v>41502</v>
      </c>
      <c r="D328" s="5">
        <v>14.327500343322701</v>
      </c>
      <c r="E328" s="5">
        <v>14.416500091552701</v>
      </c>
      <c r="F328" s="5">
        <v>14.2250003814697</v>
      </c>
      <c r="G328" s="5">
        <v>14.241000175476</v>
      </c>
      <c r="H328" s="5">
        <v>14.241000175476</v>
      </c>
      <c r="I328" s="5">
        <v>48450000</v>
      </c>
      <c r="J328" s="2" t="str">
        <f>TEXT(Table1[[#This Row],[Date]],"dddd")</f>
        <v>Friday</v>
      </c>
      <c r="K328" s="5" t="str">
        <f>TEXT(Table1[[#This Row],[Date]],"mmmm")</f>
        <v>August</v>
      </c>
      <c r="L328" s="3" t="str">
        <f>TEXT(Table1[[#This Row],[Date]],"yyyy")</f>
        <v>2013</v>
      </c>
    </row>
    <row r="329" spans="3:12" x14ac:dyDescent="0.3">
      <c r="C329" s="1">
        <v>41505</v>
      </c>
      <c r="D329" s="2">
        <v>14.2594995498657</v>
      </c>
      <c r="E329" s="2">
        <v>14.477999687194799</v>
      </c>
      <c r="F329" s="2">
        <v>14.1739997863769</v>
      </c>
      <c r="G329" s="2">
        <v>14.278499603271401</v>
      </c>
      <c r="H329" s="2">
        <v>14.278499603271401</v>
      </c>
      <c r="I329" s="2">
        <v>49548000</v>
      </c>
      <c r="J329" s="2" t="str">
        <f>TEXT(Table1[[#This Row],[Date]],"dddd")</f>
        <v>Monday</v>
      </c>
      <c r="K329" s="2" t="str">
        <f>TEXT(Table1[[#This Row],[Date]],"mmmm")</f>
        <v>August</v>
      </c>
      <c r="L329" s="3" t="str">
        <f>TEXT(Table1[[#This Row],[Date]],"yyyy")</f>
        <v>2013</v>
      </c>
    </row>
    <row r="330" spans="3:12" x14ac:dyDescent="0.3">
      <c r="C330" s="4">
        <v>41506</v>
      </c>
      <c r="D330" s="5">
        <v>14.293999671936</v>
      </c>
      <c r="E330" s="5">
        <v>14.4755001068115</v>
      </c>
      <c r="F330" s="5">
        <v>14.286999702453601</v>
      </c>
      <c r="G330" s="5">
        <v>14.354499816894499</v>
      </c>
      <c r="H330" s="5">
        <v>14.354499816894499</v>
      </c>
      <c r="I330" s="5">
        <v>31726000</v>
      </c>
      <c r="J330" s="2" t="str">
        <f>TEXT(Table1[[#This Row],[Date]],"dddd")</f>
        <v>Tuesday</v>
      </c>
      <c r="K330" s="5" t="str">
        <f>TEXT(Table1[[#This Row],[Date]],"mmmm")</f>
        <v>August</v>
      </c>
      <c r="L330" s="3" t="str">
        <f>TEXT(Table1[[#This Row],[Date]],"yyyy")</f>
        <v>2013</v>
      </c>
    </row>
    <row r="331" spans="3:12" x14ac:dyDescent="0.3">
      <c r="C331" s="1">
        <v>41507</v>
      </c>
      <c r="D331" s="2">
        <v>14.2545003890991</v>
      </c>
      <c r="E331" s="2">
        <v>14.425000190734799</v>
      </c>
      <c r="F331" s="2">
        <v>14.191499710083001</v>
      </c>
      <c r="G331" s="2">
        <v>14.2285003662109</v>
      </c>
      <c r="H331" s="2">
        <v>14.2285003662109</v>
      </c>
      <c r="I331" s="2">
        <v>36306000</v>
      </c>
      <c r="J331" s="2" t="str">
        <f>TEXT(Table1[[#This Row],[Date]],"dddd")</f>
        <v>Wednesday</v>
      </c>
      <c r="K331" s="2" t="str">
        <f>TEXT(Table1[[#This Row],[Date]],"mmmm")</f>
        <v>August</v>
      </c>
      <c r="L331" s="3" t="str">
        <f>TEXT(Table1[[#This Row],[Date]],"yyyy")</f>
        <v>2013</v>
      </c>
    </row>
    <row r="332" spans="3:12" x14ac:dyDescent="0.3">
      <c r="C332" s="4">
        <v>41508</v>
      </c>
      <c r="D332" s="5">
        <v>14.2399997711181</v>
      </c>
      <c r="E332" s="5">
        <v>14.4934997558593</v>
      </c>
      <c r="F332" s="5">
        <v>14.2399997711181</v>
      </c>
      <c r="G332" s="5">
        <v>14.4864997863769</v>
      </c>
      <c r="H332" s="5">
        <v>14.4864997863769</v>
      </c>
      <c r="I332" s="5">
        <v>28452000</v>
      </c>
      <c r="J332" s="2" t="str">
        <f>TEXT(Table1[[#This Row],[Date]],"dddd")</f>
        <v>Thursday</v>
      </c>
      <c r="K332" s="5" t="str">
        <f>TEXT(Table1[[#This Row],[Date]],"mmmm")</f>
        <v>August</v>
      </c>
      <c r="L332" s="3" t="str">
        <f>TEXT(Table1[[#This Row],[Date]],"yyyy")</f>
        <v>2013</v>
      </c>
    </row>
    <row r="333" spans="3:12" x14ac:dyDescent="0.3">
      <c r="C333" s="1">
        <v>41509</v>
      </c>
      <c r="D333" s="2">
        <v>14.5605001449584</v>
      </c>
      <c r="E333" s="2">
        <v>14.574999809265099</v>
      </c>
      <c r="F333" s="2">
        <v>14.395000457763601</v>
      </c>
      <c r="G333" s="2">
        <v>14.500499725341699</v>
      </c>
      <c r="H333" s="2">
        <v>14.500499725341699</v>
      </c>
      <c r="I333" s="2">
        <v>39238000</v>
      </c>
      <c r="J333" s="2" t="str">
        <f>TEXT(Table1[[#This Row],[Date]],"dddd")</f>
        <v>Friday</v>
      </c>
      <c r="K333" s="2" t="str">
        <f>TEXT(Table1[[#This Row],[Date]],"mmmm")</f>
        <v>August</v>
      </c>
      <c r="L333" s="3" t="str">
        <f>TEXT(Table1[[#This Row],[Date]],"yyyy")</f>
        <v>2013</v>
      </c>
    </row>
    <row r="334" spans="3:12" x14ac:dyDescent="0.3">
      <c r="C334" s="4">
        <v>41512</v>
      </c>
      <c r="D334" s="5">
        <v>14.521499633789</v>
      </c>
      <c r="E334" s="5">
        <v>14.5524997711181</v>
      </c>
      <c r="F334" s="5">
        <v>14.2810001373291</v>
      </c>
      <c r="G334" s="5">
        <v>14.3105001449584</v>
      </c>
      <c r="H334" s="5">
        <v>14.3105001449584</v>
      </c>
      <c r="I334" s="5">
        <v>34234000</v>
      </c>
      <c r="J334" s="2" t="str">
        <f>TEXT(Table1[[#This Row],[Date]],"dddd")</f>
        <v>Monday</v>
      </c>
      <c r="K334" s="5" t="str">
        <f>TEXT(Table1[[#This Row],[Date]],"mmmm")</f>
        <v>August</v>
      </c>
      <c r="L334" s="3" t="str">
        <f>TEXT(Table1[[#This Row],[Date]],"yyyy")</f>
        <v>2013</v>
      </c>
    </row>
    <row r="335" spans="3:12" x14ac:dyDescent="0.3">
      <c r="C335" s="1">
        <v>41513</v>
      </c>
      <c r="D335" s="2">
        <v>14.193499565124499</v>
      </c>
      <c r="E335" s="2">
        <v>14.263999938964799</v>
      </c>
      <c r="F335" s="2">
        <v>13.987000465393001</v>
      </c>
      <c r="G335" s="2">
        <v>14.046500205993601</v>
      </c>
      <c r="H335" s="2">
        <v>14.046500205993601</v>
      </c>
      <c r="I335" s="2">
        <v>49520000</v>
      </c>
      <c r="J335" s="2" t="str">
        <f>TEXT(Table1[[#This Row],[Date]],"dddd")</f>
        <v>Tuesday</v>
      </c>
      <c r="K335" s="2" t="str">
        <f>TEXT(Table1[[#This Row],[Date]],"mmmm")</f>
        <v>August</v>
      </c>
      <c r="L335" s="3" t="str">
        <f>TEXT(Table1[[#This Row],[Date]],"yyyy")</f>
        <v>2013</v>
      </c>
    </row>
    <row r="336" spans="3:12" x14ac:dyDescent="0.3">
      <c r="C336" s="4">
        <v>41514</v>
      </c>
      <c r="D336" s="5">
        <v>14.0179996490478</v>
      </c>
      <c r="E336" s="5">
        <v>14.149999618530201</v>
      </c>
      <c r="F336" s="5">
        <v>13.9665002822875</v>
      </c>
      <c r="G336" s="5">
        <v>14.079000473022401</v>
      </c>
      <c r="H336" s="5">
        <v>14.079000473022401</v>
      </c>
      <c r="I336" s="5">
        <v>29142000</v>
      </c>
      <c r="J336" s="2" t="str">
        <f>TEXT(Table1[[#This Row],[Date]],"dddd")</f>
        <v>Wednesday</v>
      </c>
      <c r="K336" s="5" t="str">
        <f>TEXT(Table1[[#This Row],[Date]],"mmmm")</f>
        <v>August</v>
      </c>
      <c r="L336" s="3" t="str">
        <f>TEXT(Table1[[#This Row],[Date]],"yyyy")</f>
        <v>2013</v>
      </c>
    </row>
    <row r="337" spans="3:12" x14ac:dyDescent="0.3">
      <c r="C337" s="1">
        <v>41515</v>
      </c>
      <c r="D337" s="2">
        <v>14.0725002288818</v>
      </c>
      <c r="E337" s="2">
        <v>14.2989997863769</v>
      </c>
      <c r="F337" s="2">
        <v>14</v>
      </c>
      <c r="G337" s="2">
        <v>14.1990003585815</v>
      </c>
      <c r="H337" s="2">
        <v>14.1990003585815</v>
      </c>
      <c r="I337" s="2">
        <v>31328000</v>
      </c>
      <c r="J337" s="2" t="str">
        <f>TEXT(Table1[[#This Row],[Date]],"dddd")</f>
        <v>Thursday</v>
      </c>
      <c r="K337" s="2" t="str">
        <f>TEXT(Table1[[#This Row],[Date]],"mmmm")</f>
        <v>August</v>
      </c>
      <c r="L337" s="3" t="str">
        <f>TEXT(Table1[[#This Row],[Date]],"yyyy")</f>
        <v>2013</v>
      </c>
    </row>
    <row r="338" spans="3:12" x14ac:dyDescent="0.3">
      <c r="C338" s="4">
        <v>41516</v>
      </c>
      <c r="D338" s="5">
        <v>14.229499816894499</v>
      </c>
      <c r="E338" s="5">
        <v>14.2434997558593</v>
      </c>
      <c r="F338" s="5">
        <v>14</v>
      </c>
      <c r="G338" s="5">
        <v>14.0489997863769</v>
      </c>
      <c r="H338" s="5">
        <v>14.0489997863769</v>
      </c>
      <c r="I338" s="5">
        <v>30694000</v>
      </c>
      <c r="J338" s="2" t="str">
        <f>TEXT(Table1[[#This Row],[Date]],"dddd")</f>
        <v>Friday</v>
      </c>
      <c r="K338" s="5" t="str">
        <f>TEXT(Table1[[#This Row],[Date]],"mmmm")</f>
        <v>August</v>
      </c>
      <c r="L338" s="3" t="str">
        <f>TEXT(Table1[[#This Row],[Date]],"yyyy")</f>
        <v>2013</v>
      </c>
    </row>
    <row r="339" spans="3:12" x14ac:dyDescent="0.3">
      <c r="C339" s="1">
        <v>41520</v>
      </c>
      <c r="D339" s="2">
        <v>14.2364997863769</v>
      </c>
      <c r="E339" s="2">
        <v>14.569499969482401</v>
      </c>
      <c r="F339" s="2">
        <v>14.2084999084472</v>
      </c>
      <c r="G339" s="2">
        <v>14.439999580383301</v>
      </c>
      <c r="H339" s="2">
        <v>14.439999580383301</v>
      </c>
      <c r="I339" s="2">
        <v>57952000</v>
      </c>
      <c r="J339" s="2" t="str">
        <f>TEXT(Table1[[#This Row],[Date]],"dddd")</f>
        <v>Tuesday</v>
      </c>
      <c r="K339" s="2" t="str">
        <f>TEXT(Table1[[#This Row],[Date]],"mmmm")</f>
        <v>September</v>
      </c>
      <c r="L339" s="3" t="str">
        <f>TEXT(Table1[[#This Row],[Date]],"yyyy")</f>
        <v>2013</v>
      </c>
    </row>
    <row r="340" spans="3:12" x14ac:dyDescent="0.3">
      <c r="C340" s="4">
        <v>41521</v>
      </c>
      <c r="D340" s="5">
        <v>14.416500091552701</v>
      </c>
      <c r="E340" s="5">
        <v>14.7615003585815</v>
      </c>
      <c r="F340" s="5">
        <v>14.378999710083001</v>
      </c>
      <c r="G340" s="5">
        <v>14.6820001602172</v>
      </c>
      <c r="H340" s="5">
        <v>14.6820001602172</v>
      </c>
      <c r="I340" s="5">
        <v>48772000</v>
      </c>
      <c r="J340" s="2" t="str">
        <f>TEXT(Table1[[#This Row],[Date]],"dddd")</f>
        <v>Wednesday</v>
      </c>
      <c r="K340" s="5" t="str">
        <f>TEXT(Table1[[#This Row],[Date]],"mmmm")</f>
        <v>September</v>
      </c>
      <c r="L340" s="3" t="str">
        <f>TEXT(Table1[[#This Row],[Date]],"yyyy")</f>
        <v>2013</v>
      </c>
    </row>
    <row r="341" spans="3:12" x14ac:dyDescent="0.3">
      <c r="C341" s="1">
        <v>41522</v>
      </c>
      <c r="D341" s="2">
        <v>14.681500434875399</v>
      </c>
      <c r="E341" s="2">
        <v>14.8500003814697</v>
      </c>
      <c r="F341" s="2">
        <v>14.635499954223601</v>
      </c>
      <c r="G341" s="2">
        <v>14.704999923706</v>
      </c>
      <c r="H341" s="2">
        <v>14.704999923706</v>
      </c>
      <c r="I341" s="2">
        <v>36332000</v>
      </c>
      <c r="J341" s="2" t="str">
        <f>TEXT(Table1[[#This Row],[Date]],"dddd")</f>
        <v>Thursday</v>
      </c>
      <c r="K341" s="2" t="str">
        <f>TEXT(Table1[[#This Row],[Date]],"mmmm")</f>
        <v>September</v>
      </c>
      <c r="L341" s="3" t="str">
        <f>TEXT(Table1[[#This Row],[Date]],"yyyy")</f>
        <v>2013</v>
      </c>
    </row>
    <row r="342" spans="3:12" x14ac:dyDescent="0.3">
      <c r="C342" s="4">
        <v>41523</v>
      </c>
      <c r="D342" s="5">
        <v>14.766500473022401</v>
      </c>
      <c r="E342" s="5">
        <v>14.9440002441406</v>
      </c>
      <c r="F342" s="5">
        <v>14.539999961853001</v>
      </c>
      <c r="G342" s="5">
        <v>14.793000221252401</v>
      </c>
      <c r="H342" s="5">
        <v>14.793000221252401</v>
      </c>
      <c r="I342" s="5">
        <v>45840000</v>
      </c>
      <c r="J342" s="2" t="str">
        <f>TEXT(Table1[[#This Row],[Date]],"dddd")</f>
        <v>Friday</v>
      </c>
      <c r="K342" s="5" t="str">
        <f>TEXT(Table1[[#This Row],[Date]],"mmmm")</f>
        <v>September</v>
      </c>
      <c r="L342" s="3" t="str">
        <f>TEXT(Table1[[#This Row],[Date]],"yyyy")</f>
        <v>2013</v>
      </c>
    </row>
    <row r="343" spans="3:12" x14ac:dyDescent="0.3">
      <c r="C343" s="1">
        <v>41526</v>
      </c>
      <c r="D343" s="2">
        <v>14.861000061035099</v>
      </c>
      <c r="E343" s="2">
        <v>14.9980001449584</v>
      </c>
      <c r="F343" s="2">
        <v>14.829999923706</v>
      </c>
      <c r="G343" s="2">
        <v>14.985500335693301</v>
      </c>
      <c r="H343" s="2">
        <v>14.985500335693301</v>
      </c>
      <c r="I343" s="2">
        <v>32872000</v>
      </c>
      <c r="J343" s="2" t="str">
        <f>TEXT(Table1[[#This Row],[Date]],"dddd")</f>
        <v>Monday</v>
      </c>
      <c r="K343" s="2" t="str">
        <f>TEXT(Table1[[#This Row],[Date]],"mmmm")</f>
        <v>September</v>
      </c>
      <c r="L343" s="3" t="str">
        <f>TEXT(Table1[[#This Row],[Date]],"yyyy")</f>
        <v>2013</v>
      </c>
    </row>
    <row r="344" spans="3:12" x14ac:dyDescent="0.3">
      <c r="C344" s="4">
        <v>41527</v>
      </c>
      <c r="D344" s="5">
        <v>15.0275001525878</v>
      </c>
      <c r="E344" s="5">
        <v>15.050000190734799</v>
      </c>
      <c r="F344" s="5">
        <v>14.861000061035099</v>
      </c>
      <c r="G344" s="5">
        <v>15.0179996490478</v>
      </c>
      <c r="H344" s="5">
        <v>15.0179996490478</v>
      </c>
      <c r="I344" s="5">
        <v>35568000</v>
      </c>
      <c r="J344" s="2" t="str">
        <f>TEXT(Table1[[#This Row],[Date]],"dddd")</f>
        <v>Tuesday</v>
      </c>
      <c r="K344" s="5" t="str">
        <f>TEXT(Table1[[#This Row],[Date]],"mmmm")</f>
        <v>September</v>
      </c>
      <c r="L344" s="3" t="str">
        <f>TEXT(Table1[[#This Row],[Date]],"yyyy")</f>
        <v>2013</v>
      </c>
    </row>
    <row r="345" spans="3:12" x14ac:dyDescent="0.3">
      <c r="C345" s="1">
        <v>41528</v>
      </c>
      <c r="D345" s="2">
        <v>14.9455003738403</v>
      </c>
      <c r="E345" s="2">
        <v>15.093000411987299</v>
      </c>
      <c r="F345" s="2">
        <v>14.892000198364199</v>
      </c>
      <c r="G345" s="2">
        <v>14.9820003509521</v>
      </c>
      <c r="H345" s="2">
        <v>14.9820003509521</v>
      </c>
      <c r="I345" s="2">
        <v>34852000</v>
      </c>
      <c r="J345" s="2" t="str">
        <f>TEXT(Table1[[#This Row],[Date]],"dddd")</f>
        <v>Wednesday</v>
      </c>
      <c r="K345" s="2" t="str">
        <f>TEXT(Table1[[#This Row],[Date]],"mmmm")</f>
        <v>September</v>
      </c>
      <c r="L345" s="3" t="str">
        <f>TEXT(Table1[[#This Row],[Date]],"yyyy")</f>
        <v>2013</v>
      </c>
    </row>
    <row r="346" spans="3:12" x14ac:dyDescent="0.3">
      <c r="C346" s="4">
        <v>41529</v>
      </c>
      <c r="D346" s="5">
        <v>14.969499588012599</v>
      </c>
      <c r="E346" s="5">
        <v>15.1000003814697</v>
      </c>
      <c r="F346" s="5">
        <v>14.8830003738403</v>
      </c>
      <c r="G346" s="5">
        <v>14.942999839782701</v>
      </c>
      <c r="H346" s="5">
        <v>14.942999839782701</v>
      </c>
      <c r="I346" s="5">
        <v>32124000</v>
      </c>
      <c r="J346" s="2" t="str">
        <f>TEXT(Table1[[#This Row],[Date]],"dddd")</f>
        <v>Thursday</v>
      </c>
      <c r="K346" s="5" t="str">
        <f>TEXT(Table1[[#This Row],[Date]],"mmmm")</f>
        <v>September</v>
      </c>
      <c r="L346" s="3" t="str">
        <f>TEXT(Table1[[#This Row],[Date]],"yyyy")</f>
        <v>2013</v>
      </c>
    </row>
    <row r="347" spans="3:12" x14ac:dyDescent="0.3">
      <c r="C347" s="1">
        <v>41530</v>
      </c>
      <c r="D347" s="2">
        <v>15.006999969482401</v>
      </c>
      <c r="E347" s="2">
        <v>15.010999679565399</v>
      </c>
      <c r="F347" s="2">
        <v>14.810000419616699</v>
      </c>
      <c r="G347" s="2">
        <v>14.8959999084472</v>
      </c>
      <c r="H347" s="2">
        <v>14.8959999084472</v>
      </c>
      <c r="I347" s="2">
        <v>27012000</v>
      </c>
      <c r="J347" s="2" t="str">
        <f>TEXT(Table1[[#This Row],[Date]],"dddd")</f>
        <v>Friday</v>
      </c>
      <c r="K347" s="2" t="str">
        <f>TEXT(Table1[[#This Row],[Date]],"mmmm")</f>
        <v>September</v>
      </c>
      <c r="L347" s="3" t="str">
        <f>TEXT(Table1[[#This Row],[Date]],"yyyy")</f>
        <v>2013</v>
      </c>
    </row>
    <row r="348" spans="3:12" x14ac:dyDescent="0.3">
      <c r="C348" s="4">
        <v>41533</v>
      </c>
      <c r="D348" s="5">
        <v>14.991000175476</v>
      </c>
      <c r="E348" s="5">
        <v>15.050000190734799</v>
      </c>
      <c r="F348" s="5">
        <v>14.7629995346069</v>
      </c>
      <c r="G348" s="5">
        <v>14.803000450134199</v>
      </c>
      <c r="H348" s="5">
        <v>14.803000450134199</v>
      </c>
      <c r="I348" s="5">
        <v>36168000</v>
      </c>
      <c r="J348" s="2" t="str">
        <f>TEXT(Table1[[#This Row],[Date]],"dddd")</f>
        <v>Monday</v>
      </c>
      <c r="K348" s="5" t="str">
        <f>TEXT(Table1[[#This Row],[Date]],"mmmm")</f>
        <v>September</v>
      </c>
      <c r="L348" s="3" t="str">
        <f>TEXT(Table1[[#This Row],[Date]],"yyyy")</f>
        <v>2013</v>
      </c>
    </row>
    <row r="349" spans="3:12" x14ac:dyDescent="0.3">
      <c r="C349" s="1">
        <v>41534</v>
      </c>
      <c r="D349" s="2">
        <v>14.8815002441406</v>
      </c>
      <c r="E349" s="2">
        <v>15.232500076293899</v>
      </c>
      <c r="F349" s="2">
        <v>14.8004999160766</v>
      </c>
      <c r="G349" s="2">
        <v>15.2084999084472</v>
      </c>
      <c r="H349" s="2">
        <v>15.2084999084472</v>
      </c>
      <c r="I349" s="2">
        <v>45930000</v>
      </c>
      <c r="J349" s="2" t="str">
        <f>TEXT(Table1[[#This Row],[Date]],"dddd")</f>
        <v>Tuesday</v>
      </c>
      <c r="K349" s="2" t="str">
        <f>TEXT(Table1[[#This Row],[Date]],"mmmm")</f>
        <v>September</v>
      </c>
      <c r="L349" s="3" t="str">
        <f>TEXT(Table1[[#This Row],[Date]],"yyyy")</f>
        <v>2013</v>
      </c>
    </row>
    <row r="350" spans="3:12" x14ac:dyDescent="0.3">
      <c r="C350" s="4">
        <v>41535</v>
      </c>
      <c r="D350" s="5">
        <v>15.203000068664499</v>
      </c>
      <c r="E350" s="5">
        <v>15.637000083923301</v>
      </c>
      <c r="F350" s="5">
        <v>15.145500183105399</v>
      </c>
      <c r="G350" s="5">
        <v>15.601499557495099</v>
      </c>
      <c r="H350" s="5">
        <v>15.601499557495099</v>
      </c>
      <c r="I350" s="5">
        <v>58928000</v>
      </c>
      <c r="J350" s="2" t="str">
        <f>TEXT(Table1[[#This Row],[Date]],"dddd")</f>
        <v>Wednesday</v>
      </c>
      <c r="K350" s="5" t="str">
        <f>TEXT(Table1[[#This Row],[Date]],"mmmm")</f>
        <v>September</v>
      </c>
      <c r="L350" s="3" t="str">
        <f>TEXT(Table1[[#This Row],[Date]],"yyyy")</f>
        <v>2013</v>
      </c>
    </row>
    <row r="351" spans="3:12" x14ac:dyDescent="0.3">
      <c r="C351" s="1">
        <v>41536</v>
      </c>
      <c r="D351" s="2">
        <v>15.688500404357899</v>
      </c>
      <c r="E351" s="2">
        <v>15.7270002365112</v>
      </c>
      <c r="F351" s="2">
        <v>15.5520000457763</v>
      </c>
      <c r="G351" s="2">
        <v>15.602999687194799</v>
      </c>
      <c r="H351" s="2">
        <v>15.602999687194799</v>
      </c>
      <c r="I351" s="2">
        <v>47018000</v>
      </c>
      <c r="J351" s="2" t="str">
        <f>TEXT(Table1[[#This Row],[Date]],"dddd")</f>
        <v>Thursday</v>
      </c>
      <c r="K351" s="2" t="str">
        <f>TEXT(Table1[[#This Row],[Date]],"mmmm")</f>
        <v>September</v>
      </c>
      <c r="L351" s="3" t="str">
        <f>TEXT(Table1[[#This Row],[Date]],"yyyy")</f>
        <v>2013</v>
      </c>
    </row>
    <row r="352" spans="3:12" x14ac:dyDescent="0.3">
      <c r="C352" s="4">
        <v>41537</v>
      </c>
      <c r="D352" s="5">
        <v>15.6269998550415</v>
      </c>
      <c r="E352" s="5">
        <v>16.028499603271399</v>
      </c>
      <c r="F352" s="5">
        <v>15.620499610900801</v>
      </c>
      <c r="G352" s="5">
        <v>15.8170003890991</v>
      </c>
      <c r="H352" s="5">
        <v>15.8170003890991</v>
      </c>
      <c r="I352" s="5">
        <v>106046000</v>
      </c>
      <c r="J352" s="2" t="str">
        <f>TEXT(Table1[[#This Row],[Date]],"dddd")</f>
        <v>Friday</v>
      </c>
      <c r="K352" s="5" t="str">
        <f>TEXT(Table1[[#This Row],[Date]],"mmmm")</f>
        <v>September</v>
      </c>
      <c r="L352" s="3" t="str">
        <f>TEXT(Table1[[#This Row],[Date]],"yyyy")</f>
        <v>2013</v>
      </c>
    </row>
    <row r="353" spans="3:12" x14ac:dyDescent="0.3">
      <c r="C353" s="1">
        <v>41540</v>
      </c>
      <c r="D353" s="2">
        <v>15.7004995346069</v>
      </c>
      <c r="E353" s="2">
        <v>15.795000076293899</v>
      </c>
      <c r="F353" s="2">
        <v>15.438500404357899</v>
      </c>
      <c r="G353" s="2">
        <v>15.574500083923301</v>
      </c>
      <c r="H353" s="2">
        <v>15.574500083923301</v>
      </c>
      <c r="I353" s="2">
        <v>37698000</v>
      </c>
      <c r="J353" s="2" t="str">
        <f>TEXT(Table1[[#This Row],[Date]],"dddd")</f>
        <v>Monday</v>
      </c>
      <c r="K353" s="2" t="str">
        <f>TEXT(Table1[[#This Row],[Date]],"mmmm")</f>
        <v>September</v>
      </c>
      <c r="L353" s="3" t="str">
        <f>TEXT(Table1[[#This Row],[Date]],"yyyy")</f>
        <v>2013</v>
      </c>
    </row>
    <row r="354" spans="3:12" x14ac:dyDescent="0.3">
      <c r="C354" s="4">
        <v>41541</v>
      </c>
      <c r="D354" s="5">
        <v>15.6215000152587</v>
      </c>
      <c r="E354" s="5">
        <v>15.9040002822875</v>
      </c>
      <c r="F354" s="5">
        <v>15.5640001296997</v>
      </c>
      <c r="G354" s="5">
        <v>15.7065000534057</v>
      </c>
      <c r="H354" s="5">
        <v>15.7065000534057</v>
      </c>
      <c r="I354" s="5">
        <v>40672000</v>
      </c>
      <c r="J354" s="2" t="str">
        <f>TEXT(Table1[[#This Row],[Date]],"dddd")</f>
        <v>Tuesday</v>
      </c>
      <c r="K354" s="5" t="str">
        <f>TEXT(Table1[[#This Row],[Date]],"mmmm")</f>
        <v>September</v>
      </c>
      <c r="L354" s="3" t="str">
        <f>TEXT(Table1[[#This Row],[Date]],"yyyy")</f>
        <v>2013</v>
      </c>
    </row>
    <row r="355" spans="3:12" x14ac:dyDescent="0.3">
      <c r="C355" s="1">
        <v>41542</v>
      </c>
      <c r="D355" s="2">
        <v>15.726499557495099</v>
      </c>
      <c r="E355" s="2">
        <v>15.8354997634887</v>
      </c>
      <c r="F355" s="2">
        <v>15.5375003814697</v>
      </c>
      <c r="G355" s="2">
        <v>15.632499694824199</v>
      </c>
      <c r="H355" s="2">
        <v>15.632499694824199</v>
      </c>
      <c r="I355" s="2">
        <v>40172000</v>
      </c>
      <c r="J355" s="2" t="str">
        <f>TEXT(Table1[[#This Row],[Date]],"dddd")</f>
        <v>Wednesday</v>
      </c>
      <c r="K355" s="2" t="str">
        <f>TEXT(Table1[[#This Row],[Date]],"mmmm")</f>
        <v>September</v>
      </c>
      <c r="L355" s="3" t="str">
        <f>TEXT(Table1[[#This Row],[Date]],"yyyy")</f>
        <v>2013</v>
      </c>
    </row>
    <row r="356" spans="3:12" x14ac:dyDescent="0.3">
      <c r="C356" s="4">
        <v>41543</v>
      </c>
      <c r="D356" s="5">
        <v>15.694999694824199</v>
      </c>
      <c r="E356" s="5">
        <v>15.9685001373291</v>
      </c>
      <c r="F356" s="5">
        <v>15.6630001068115</v>
      </c>
      <c r="G356" s="5">
        <v>15.9060001373291</v>
      </c>
      <c r="H356" s="5">
        <v>15.9060001373291</v>
      </c>
      <c r="I356" s="5">
        <v>39798000</v>
      </c>
      <c r="J356" s="2" t="str">
        <f>TEXT(Table1[[#This Row],[Date]],"dddd")</f>
        <v>Thursday</v>
      </c>
      <c r="K356" s="5" t="str">
        <f>TEXT(Table1[[#This Row],[Date]],"mmmm")</f>
        <v>September</v>
      </c>
      <c r="L356" s="3" t="str">
        <f>TEXT(Table1[[#This Row],[Date]],"yyyy")</f>
        <v>2013</v>
      </c>
    </row>
    <row r="357" spans="3:12" x14ac:dyDescent="0.3">
      <c r="C357" s="1">
        <v>41544</v>
      </c>
      <c r="D357" s="2">
        <v>15.845999717712401</v>
      </c>
      <c r="E357" s="2">
        <v>15.860500335693301</v>
      </c>
      <c r="F357" s="2">
        <v>15.6674995422363</v>
      </c>
      <c r="G357" s="2">
        <v>15.8004999160766</v>
      </c>
      <c r="H357" s="2">
        <v>15.8004999160766</v>
      </c>
      <c r="I357" s="2">
        <v>33150000</v>
      </c>
      <c r="J357" s="2" t="str">
        <f>TEXT(Table1[[#This Row],[Date]],"dddd")</f>
        <v>Friday</v>
      </c>
      <c r="K357" s="2" t="str">
        <f>TEXT(Table1[[#This Row],[Date]],"mmmm")</f>
        <v>September</v>
      </c>
      <c r="L357" s="3" t="str">
        <f>TEXT(Table1[[#This Row],[Date]],"yyyy")</f>
        <v>2013</v>
      </c>
    </row>
    <row r="358" spans="3:12" x14ac:dyDescent="0.3">
      <c r="C358" s="4">
        <v>41547</v>
      </c>
      <c r="D358" s="5">
        <v>15.6704998016357</v>
      </c>
      <c r="E358" s="5">
        <v>15.765500068664499</v>
      </c>
      <c r="F358" s="5">
        <v>15.553000450134199</v>
      </c>
      <c r="G358" s="5">
        <v>15.631999969482401</v>
      </c>
      <c r="H358" s="5">
        <v>15.631999969482401</v>
      </c>
      <c r="I358" s="5">
        <v>32472000</v>
      </c>
      <c r="J358" s="2" t="str">
        <f>TEXT(Table1[[#This Row],[Date]],"dddd")</f>
        <v>Monday</v>
      </c>
      <c r="K358" s="5" t="str">
        <f>TEXT(Table1[[#This Row],[Date]],"mmmm")</f>
        <v>September</v>
      </c>
      <c r="L358" s="3" t="str">
        <f>TEXT(Table1[[#This Row],[Date]],"yyyy")</f>
        <v>2013</v>
      </c>
    </row>
    <row r="359" spans="3:12" x14ac:dyDescent="0.3">
      <c r="C359" s="1">
        <v>41548</v>
      </c>
      <c r="D359" s="2">
        <v>15.711000442504799</v>
      </c>
      <c r="E359" s="2">
        <v>16.049999237060501</v>
      </c>
      <c r="F359" s="2">
        <v>15.682499885559</v>
      </c>
      <c r="G359" s="2">
        <v>16.047500610351499</v>
      </c>
      <c r="H359" s="2">
        <v>16.047500610351499</v>
      </c>
      <c r="I359" s="2">
        <v>47928000</v>
      </c>
      <c r="J359" s="2" t="str">
        <f>TEXT(Table1[[#This Row],[Date]],"dddd")</f>
        <v>Tuesday</v>
      </c>
      <c r="K359" s="2" t="str">
        <f>TEXT(Table1[[#This Row],[Date]],"mmmm")</f>
        <v>October</v>
      </c>
      <c r="L359" s="3" t="str">
        <f>TEXT(Table1[[#This Row],[Date]],"yyyy")</f>
        <v>2013</v>
      </c>
    </row>
    <row r="360" spans="3:12" x14ac:dyDescent="0.3">
      <c r="C360" s="4">
        <v>41549</v>
      </c>
      <c r="D360" s="5">
        <v>15.902000427246</v>
      </c>
      <c r="E360" s="5">
        <v>16.086500167846602</v>
      </c>
      <c r="F360" s="5">
        <v>15.876000404357899</v>
      </c>
      <c r="G360" s="5">
        <v>16.025499343871999</v>
      </c>
      <c r="H360" s="5">
        <v>16.025499343871999</v>
      </c>
      <c r="I360" s="5">
        <v>44348000</v>
      </c>
      <c r="J360" s="2" t="str">
        <f>TEXT(Table1[[#This Row],[Date]],"dddd")</f>
        <v>Wednesday</v>
      </c>
      <c r="K360" s="5" t="str">
        <f>TEXT(Table1[[#This Row],[Date]],"mmmm")</f>
        <v>October</v>
      </c>
      <c r="L360" s="3" t="str">
        <f>TEXT(Table1[[#This Row],[Date]],"yyyy")</f>
        <v>2013</v>
      </c>
    </row>
    <row r="361" spans="3:12" x14ac:dyDescent="0.3">
      <c r="C361" s="1">
        <v>41550</v>
      </c>
      <c r="D361" s="2">
        <v>16.0195007324218</v>
      </c>
      <c r="E361" s="2">
        <v>16.145999908447202</v>
      </c>
      <c r="F361" s="2">
        <v>15.6510000228881</v>
      </c>
      <c r="G361" s="2">
        <v>15.7379999160766</v>
      </c>
      <c r="H361" s="2">
        <v>15.7379999160766</v>
      </c>
      <c r="I361" s="2">
        <v>53496000</v>
      </c>
      <c r="J361" s="2" t="str">
        <f>TEXT(Table1[[#This Row],[Date]],"dddd")</f>
        <v>Thursday</v>
      </c>
      <c r="K361" s="2" t="str">
        <f>TEXT(Table1[[#This Row],[Date]],"mmmm")</f>
        <v>October</v>
      </c>
      <c r="L361" s="3" t="str">
        <f>TEXT(Table1[[#This Row],[Date]],"yyyy")</f>
        <v>2013</v>
      </c>
    </row>
    <row r="362" spans="3:12" x14ac:dyDescent="0.3">
      <c r="C362" s="4">
        <v>41551</v>
      </c>
      <c r="D362" s="5">
        <v>15.7565002441406</v>
      </c>
      <c r="E362" s="5">
        <v>15.9600000381469</v>
      </c>
      <c r="F362" s="5">
        <v>15.630999565124499</v>
      </c>
      <c r="G362" s="5">
        <v>15.9519996643066</v>
      </c>
      <c r="H362" s="5">
        <v>15.9519996643066</v>
      </c>
      <c r="I362" s="5">
        <v>36300000</v>
      </c>
      <c r="J362" s="2" t="str">
        <f>TEXT(Table1[[#This Row],[Date]],"dddd")</f>
        <v>Friday</v>
      </c>
      <c r="K362" s="5" t="str">
        <f>TEXT(Table1[[#This Row],[Date]],"mmmm")</f>
        <v>October</v>
      </c>
      <c r="L362" s="3" t="str">
        <f>TEXT(Table1[[#This Row],[Date]],"yyyy")</f>
        <v>2013</v>
      </c>
    </row>
    <row r="363" spans="3:12" x14ac:dyDescent="0.3">
      <c r="C363" s="1">
        <v>41554</v>
      </c>
      <c r="D363" s="2">
        <v>15.762000083923301</v>
      </c>
      <c r="E363" s="2">
        <v>15.767000198364199</v>
      </c>
      <c r="F363" s="2">
        <v>15.487000465393001</v>
      </c>
      <c r="G363" s="2">
        <v>15.5015001296997</v>
      </c>
      <c r="H363" s="2">
        <v>15.5015001296997</v>
      </c>
      <c r="I363" s="2">
        <v>41664000</v>
      </c>
      <c r="J363" s="2" t="str">
        <f>TEXT(Table1[[#This Row],[Date]],"dddd")</f>
        <v>Monday</v>
      </c>
      <c r="K363" s="2" t="str">
        <f>TEXT(Table1[[#This Row],[Date]],"mmmm")</f>
        <v>October</v>
      </c>
      <c r="L363" s="3" t="str">
        <f>TEXT(Table1[[#This Row],[Date]],"yyyy")</f>
        <v>2013</v>
      </c>
    </row>
    <row r="364" spans="3:12" x14ac:dyDescent="0.3">
      <c r="C364" s="4">
        <v>41555</v>
      </c>
      <c r="D364" s="5">
        <v>15.574999809265099</v>
      </c>
      <c r="E364" s="5">
        <v>15.577500343322701</v>
      </c>
      <c r="F364" s="5">
        <v>15.013500213623001</v>
      </c>
      <c r="G364" s="5">
        <v>15.1614999771118</v>
      </c>
      <c r="H364" s="5">
        <v>15.1614999771118</v>
      </c>
      <c r="I364" s="5">
        <v>63324000</v>
      </c>
      <c r="J364" s="2" t="str">
        <f>TEXT(Table1[[#This Row],[Date]],"dddd")</f>
        <v>Tuesday</v>
      </c>
      <c r="K364" s="5" t="str">
        <f>TEXT(Table1[[#This Row],[Date]],"mmmm")</f>
        <v>October</v>
      </c>
      <c r="L364" s="3" t="str">
        <f>TEXT(Table1[[#This Row],[Date]],"yyyy")</f>
        <v>2013</v>
      </c>
    </row>
    <row r="365" spans="3:12" x14ac:dyDescent="0.3">
      <c r="C365" s="1">
        <v>41556</v>
      </c>
      <c r="D365" s="2">
        <v>15.1709995269775</v>
      </c>
      <c r="E365" s="2">
        <v>15.175000190734799</v>
      </c>
      <c r="F365" s="2">
        <v>14.824999809265099</v>
      </c>
      <c r="G365" s="2">
        <v>14.9114999771118</v>
      </c>
      <c r="H365" s="2">
        <v>14.9114999771118</v>
      </c>
      <c r="I365" s="2">
        <v>64948000</v>
      </c>
      <c r="J365" s="2" t="str">
        <f>TEXT(Table1[[#This Row],[Date]],"dddd")</f>
        <v>Wednesday</v>
      </c>
      <c r="K365" s="2" t="str">
        <f>TEXT(Table1[[#This Row],[Date]],"mmmm")</f>
        <v>October</v>
      </c>
      <c r="L365" s="3" t="str">
        <f>TEXT(Table1[[#This Row],[Date]],"yyyy")</f>
        <v>2013</v>
      </c>
    </row>
    <row r="366" spans="3:12" x14ac:dyDescent="0.3">
      <c r="C366" s="4">
        <v>41557</v>
      </c>
      <c r="D366" s="5">
        <v>15.231499671936</v>
      </c>
      <c r="E366" s="5">
        <v>15.3350000381469</v>
      </c>
      <c r="F366" s="5">
        <v>15.1295003890991</v>
      </c>
      <c r="G366" s="5">
        <v>15.2585000991821</v>
      </c>
      <c r="H366" s="5">
        <v>15.2585000991821</v>
      </c>
      <c r="I366" s="5">
        <v>51102000</v>
      </c>
      <c r="J366" s="2" t="str">
        <f>TEXT(Table1[[#This Row],[Date]],"dddd")</f>
        <v>Thursday</v>
      </c>
      <c r="K366" s="5" t="str">
        <f>TEXT(Table1[[#This Row],[Date]],"mmmm")</f>
        <v>October</v>
      </c>
      <c r="L366" s="3" t="str">
        <f>TEXT(Table1[[#This Row],[Date]],"yyyy")</f>
        <v>2013</v>
      </c>
    </row>
    <row r="367" spans="3:12" x14ac:dyDescent="0.3">
      <c r="C367" s="1">
        <v>41558</v>
      </c>
      <c r="D367" s="2">
        <v>15.2384996414184</v>
      </c>
      <c r="E367" s="2">
        <v>15.546500205993601</v>
      </c>
      <c r="F367" s="2">
        <v>15.1920003890991</v>
      </c>
      <c r="G367" s="2">
        <v>15.5445003509521</v>
      </c>
      <c r="H367" s="2">
        <v>15.5445003509521</v>
      </c>
      <c r="I367" s="2">
        <v>43262000</v>
      </c>
      <c r="J367" s="2" t="str">
        <f>TEXT(Table1[[#This Row],[Date]],"dddd")</f>
        <v>Friday</v>
      </c>
      <c r="K367" s="2" t="str">
        <f>TEXT(Table1[[#This Row],[Date]],"mmmm")</f>
        <v>October</v>
      </c>
      <c r="L367" s="3" t="str">
        <f>TEXT(Table1[[#This Row],[Date]],"yyyy")</f>
        <v>2013</v>
      </c>
    </row>
    <row r="368" spans="3:12" x14ac:dyDescent="0.3">
      <c r="C368" s="4">
        <v>41561</v>
      </c>
      <c r="D368" s="5">
        <v>15.461000442504799</v>
      </c>
      <c r="E368" s="5">
        <v>15.582500457763601</v>
      </c>
      <c r="F368" s="5">
        <v>15.3500003814697</v>
      </c>
      <c r="G368" s="5">
        <v>15.5349998474121</v>
      </c>
      <c r="H368" s="5">
        <v>15.5349998474121</v>
      </c>
      <c r="I368" s="5">
        <v>38782000</v>
      </c>
      <c r="J368" s="2" t="str">
        <f>TEXT(Table1[[#This Row],[Date]],"dddd")</f>
        <v>Monday</v>
      </c>
      <c r="K368" s="5" t="str">
        <f>TEXT(Table1[[#This Row],[Date]],"mmmm")</f>
        <v>October</v>
      </c>
      <c r="L368" s="3" t="str">
        <f>TEXT(Table1[[#This Row],[Date]],"yyyy")</f>
        <v>2013</v>
      </c>
    </row>
    <row r="369" spans="3:12" x14ac:dyDescent="0.3">
      <c r="C369" s="1">
        <v>41562</v>
      </c>
      <c r="D369" s="2">
        <v>15.4934997558593</v>
      </c>
      <c r="E369" s="2">
        <v>15.5395002365112</v>
      </c>
      <c r="F369" s="2">
        <v>15.2629995346069</v>
      </c>
      <c r="G369" s="2">
        <v>15.319999694824199</v>
      </c>
      <c r="H369" s="2">
        <v>15.319999694824199</v>
      </c>
      <c r="I369" s="2">
        <v>45222000</v>
      </c>
      <c r="J369" s="2" t="str">
        <f>TEXT(Table1[[#This Row],[Date]],"dddd")</f>
        <v>Tuesday</v>
      </c>
      <c r="K369" s="2" t="str">
        <f>TEXT(Table1[[#This Row],[Date]],"mmmm")</f>
        <v>October</v>
      </c>
      <c r="L369" s="3" t="str">
        <f>TEXT(Table1[[#This Row],[Date]],"yyyy")</f>
        <v>2013</v>
      </c>
    </row>
    <row r="370" spans="3:12" x14ac:dyDescent="0.3">
      <c r="C370" s="4">
        <v>41563</v>
      </c>
      <c r="D370" s="5">
        <v>15.418999671936</v>
      </c>
      <c r="E370" s="5">
        <v>15.539999961853001</v>
      </c>
      <c r="F370" s="5">
        <v>15.2775001525878</v>
      </c>
      <c r="G370" s="5">
        <v>15.5244998931884</v>
      </c>
      <c r="H370" s="5">
        <v>15.5244998931884</v>
      </c>
      <c r="I370" s="5">
        <v>43414000</v>
      </c>
      <c r="J370" s="2" t="str">
        <f>TEXT(Table1[[#This Row],[Date]],"dddd")</f>
        <v>Wednesday</v>
      </c>
      <c r="K370" s="5" t="str">
        <f>TEXT(Table1[[#This Row],[Date]],"mmmm")</f>
        <v>October</v>
      </c>
      <c r="L370" s="3" t="str">
        <f>TEXT(Table1[[#This Row],[Date]],"yyyy")</f>
        <v>2013</v>
      </c>
    </row>
    <row r="371" spans="3:12" x14ac:dyDescent="0.3">
      <c r="C371" s="1">
        <v>41564</v>
      </c>
      <c r="D371" s="2">
        <v>15.3535003662109</v>
      </c>
      <c r="E371" s="2">
        <v>15.550000190734799</v>
      </c>
      <c r="F371" s="2">
        <v>15.262000083923301</v>
      </c>
      <c r="G371" s="2">
        <v>15.538499832153301</v>
      </c>
      <c r="H371" s="2">
        <v>15.538499832153301</v>
      </c>
      <c r="I371" s="2">
        <v>52968000</v>
      </c>
      <c r="J371" s="2" t="str">
        <f>TEXT(Table1[[#This Row],[Date]],"dddd")</f>
        <v>Thursday</v>
      </c>
      <c r="K371" s="2" t="str">
        <f>TEXT(Table1[[#This Row],[Date]],"mmmm")</f>
        <v>October</v>
      </c>
      <c r="L371" s="3" t="str">
        <f>TEXT(Table1[[#This Row],[Date]],"yyyy")</f>
        <v>2013</v>
      </c>
    </row>
    <row r="372" spans="3:12" x14ac:dyDescent="0.3">
      <c r="C372" s="4">
        <v>41565</v>
      </c>
      <c r="D372" s="5">
        <v>15.968000411987299</v>
      </c>
      <c r="E372" s="5">
        <v>16.594499588012599</v>
      </c>
      <c r="F372" s="5">
        <v>15.837499618530201</v>
      </c>
      <c r="G372" s="5">
        <v>16.4465007781982</v>
      </c>
      <c r="H372" s="5">
        <v>16.4465007781982</v>
      </c>
      <c r="I372" s="5">
        <v>119396000</v>
      </c>
      <c r="J372" s="2" t="str">
        <f>TEXT(Table1[[#This Row],[Date]],"dddd")</f>
        <v>Friday</v>
      </c>
      <c r="K372" s="5" t="str">
        <f>TEXT(Table1[[#This Row],[Date]],"mmmm")</f>
        <v>October</v>
      </c>
      <c r="L372" s="3" t="str">
        <f>TEXT(Table1[[#This Row],[Date]],"yyyy")</f>
        <v>2013</v>
      </c>
    </row>
    <row r="373" spans="3:12" x14ac:dyDescent="0.3">
      <c r="C373" s="1">
        <v>41568</v>
      </c>
      <c r="D373" s="2">
        <v>16.494499206542901</v>
      </c>
      <c r="E373" s="2">
        <v>16.5</v>
      </c>
      <c r="F373" s="2">
        <v>16.190000534057599</v>
      </c>
      <c r="G373" s="2">
        <v>16.32200050354</v>
      </c>
      <c r="H373" s="2">
        <v>16.32200050354</v>
      </c>
      <c r="I373" s="2">
        <v>50446000</v>
      </c>
      <c r="J373" s="2" t="str">
        <f>TEXT(Table1[[#This Row],[Date]],"dddd")</f>
        <v>Monday</v>
      </c>
      <c r="K373" s="2" t="str">
        <f>TEXT(Table1[[#This Row],[Date]],"mmmm")</f>
        <v>October</v>
      </c>
      <c r="L373" s="3" t="str">
        <f>TEXT(Table1[[#This Row],[Date]],"yyyy")</f>
        <v>2013</v>
      </c>
    </row>
    <row r="374" spans="3:12" x14ac:dyDescent="0.3">
      <c r="C374" s="4">
        <v>41569</v>
      </c>
      <c r="D374" s="5">
        <v>16.385999679565401</v>
      </c>
      <c r="E374" s="5">
        <v>16.8554992675781</v>
      </c>
      <c r="F374" s="5">
        <v>16.284000396728501</v>
      </c>
      <c r="G374" s="5">
        <v>16.627000808715799</v>
      </c>
      <c r="H374" s="5">
        <v>16.627000808715799</v>
      </c>
      <c r="I374" s="5">
        <v>78710000</v>
      </c>
      <c r="J374" s="2" t="str">
        <f>TEXT(Table1[[#This Row],[Date]],"dddd")</f>
        <v>Tuesday</v>
      </c>
      <c r="K374" s="5" t="str">
        <f>TEXT(Table1[[#This Row],[Date]],"mmmm")</f>
        <v>October</v>
      </c>
      <c r="L374" s="3" t="str">
        <f>TEXT(Table1[[#This Row],[Date]],"yyyy")</f>
        <v>2013</v>
      </c>
    </row>
    <row r="375" spans="3:12" x14ac:dyDescent="0.3">
      <c r="C375" s="1">
        <v>41570</v>
      </c>
      <c r="D375" s="2">
        <v>16.541999816894499</v>
      </c>
      <c r="E375" s="2">
        <v>16.586000442504801</v>
      </c>
      <c r="F375" s="2">
        <v>16.202999114990199</v>
      </c>
      <c r="G375" s="2">
        <v>16.337999343871999</v>
      </c>
      <c r="H375" s="2">
        <v>16.337999343871999</v>
      </c>
      <c r="I375" s="2">
        <v>56364000</v>
      </c>
      <c r="J375" s="2" t="str">
        <f>TEXT(Table1[[#This Row],[Date]],"dddd")</f>
        <v>Wednesday</v>
      </c>
      <c r="K375" s="2" t="str">
        <f>TEXT(Table1[[#This Row],[Date]],"mmmm")</f>
        <v>October</v>
      </c>
      <c r="L375" s="3" t="str">
        <f>TEXT(Table1[[#This Row],[Date]],"yyyy")</f>
        <v>2013</v>
      </c>
    </row>
    <row r="376" spans="3:12" x14ac:dyDescent="0.3">
      <c r="C376" s="4">
        <v>41571</v>
      </c>
      <c r="D376" s="5">
        <v>16.481500625610298</v>
      </c>
      <c r="E376" s="5">
        <v>16.632499694824201</v>
      </c>
      <c r="F376" s="5">
        <v>16.337499618530199</v>
      </c>
      <c r="G376" s="5">
        <v>16.610500335693299</v>
      </c>
      <c r="H376" s="5">
        <v>16.610500335693299</v>
      </c>
      <c r="I376" s="5">
        <v>117694000</v>
      </c>
      <c r="J376" s="2" t="str">
        <f>TEXT(Table1[[#This Row],[Date]],"dddd")</f>
        <v>Thursday</v>
      </c>
      <c r="K376" s="5" t="str">
        <f>TEXT(Table1[[#This Row],[Date]],"mmmm")</f>
        <v>October</v>
      </c>
      <c r="L376" s="3" t="str">
        <f>TEXT(Table1[[#This Row],[Date]],"yyyy")</f>
        <v>2013</v>
      </c>
    </row>
    <row r="377" spans="3:12" x14ac:dyDescent="0.3">
      <c r="C377" s="1">
        <v>41572</v>
      </c>
      <c r="D377" s="2">
        <v>17.9300003051757</v>
      </c>
      <c r="E377" s="2">
        <v>18.420000076293899</v>
      </c>
      <c r="F377" s="2">
        <v>17.6310005187988</v>
      </c>
      <c r="G377" s="2">
        <v>18.169500350952099</v>
      </c>
      <c r="H377" s="2">
        <v>18.169500350952099</v>
      </c>
      <c r="I377" s="2">
        <v>240736000</v>
      </c>
      <c r="J377" s="2" t="str">
        <f>TEXT(Table1[[#This Row],[Date]],"dddd")</f>
        <v>Friday</v>
      </c>
      <c r="K377" s="2" t="str">
        <f>TEXT(Table1[[#This Row],[Date]],"mmmm")</f>
        <v>October</v>
      </c>
      <c r="L377" s="3" t="str">
        <f>TEXT(Table1[[#This Row],[Date]],"yyyy")</f>
        <v>2013</v>
      </c>
    </row>
    <row r="378" spans="3:12" x14ac:dyDescent="0.3">
      <c r="C378" s="4">
        <v>41575</v>
      </c>
      <c r="D378" s="5">
        <v>17.9960002899169</v>
      </c>
      <c r="E378" s="5">
        <v>18.1375007629394</v>
      </c>
      <c r="F378" s="5">
        <v>17.860000610351499</v>
      </c>
      <c r="G378" s="5">
        <v>17.908000946044901</v>
      </c>
      <c r="H378" s="5">
        <v>17.908000946044901</v>
      </c>
      <c r="I378" s="5">
        <v>72716000</v>
      </c>
      <c r="J378" s="2" t="str">
        <f>TEXT(Table1[[#This Row],[Date]],"dddd")</f>
        <v>Monday</v>
      </c>
      <c r="K378" s="5" t="str">
        <f>TEXT(Table1[[#This Row],[Date]],"mmmm")</f>
        <v>October</v>
      </c>
      <c r="L378" s="3" t="str">
        <f>TEXT(Table1[[#This Row],[Date]],"yyyy")</f>
        <v>2013</v>
      </c>
    </row>
    <row r="379" spans="3:12" x14ac:dyDescent="0.3">
      <c r="C379" s="1">
        <v>41576</v>
      </c>
      <c r="D379" s="2">
        <v>17.947999954223601</v>
      </c>
      <c r="E379" s="2">
        <v>18.1445007324218</v>
      </c>
      <c r="F379" s="2">
        <v>17.814500808715799</v>
      </c>
      <c r="G379" s="2">
        <v>18.1350002288818</v>
      </c>
      <c r="H379" s="2">
        <v>18.1350002288818</v>
      </c>
      <c r="I379" s="2">
        <v>43708000</v>
      </c>
      <c r="J379" s="2" t="str">
        <f>TEXT(Table1[[#This Row],[Date]],"dddd")</f>
        <v>Tuesday</v>
      </c>
      <c r="K379" s="2" t="str">
        <f>TEXT(Table1[[#This Row],[Date]],"mmmm")</f>
        <v>October</v>
      </c>
      <c r="L379" s="3" t="str">
        <f>TEXT(Table1[[#This Row],[Date]],"yyyy")</f>
        <v>2013</v>
      </c>
    </row>
    <row r="380" spans="3:12" x14ac:dyDescent="0.3">
      <c r="C380" s="4">
        <v>41577</v>
      </c>
      <c r="D380" s="5">
        <v>18.1310005187988</v>
      </c>
      <c r="E380" s="5">
        <v>18.25</v>
      </c>
      <c r="F380" s="5">
        <v>17.932500839233398</v>
      </c>
      <c r="G380" s="5">
        <v>18.054000854492099</v>
      </c>
      <c r="H380" s="5">
        <v>18.054000854492099</v>
      </c>
      <c r="I380" s="5">
        <v>90044000</v>
      </c>
      <c r="J380" s="2" t="str">
        <f>TEXT(Table1[[#This Row],[Date]],"dddd")</f>
        <v>Wednesday</v>
      </c>
      <c r="K380" s="5" t="str">
        <f>TEXT(Table1[[#This Row],[Date]],"mmmm")</f>
        <v>October</v>
      </c>
      <c r="L380" s="3" t="str">
        <f>TEXT(Table1[[#This Row],[Date]],"yyyy")</f>
        <v>2013</v>
      </c>
    </row>
    <row r="381" spans="3:12" x14ac:dyDescent="0.3">
      <c r="C381" s="1">
        <v>41578</v>
      </c>
      <c r="D381" s="2">
        <v>18.086500167846602</v>
      </c>
      <c r="E381" s="2">
        <v>18.299999237060501</v>
      </c>
      <c r="F381" s="2">
        <v>17.9500007629394</v>
      </c>
      <c r="G381" s="2">
        <v>18.201499938964801</v>
      </c>
      <c r="H381" s="2">
        <v>18.201499938964801</v>
      </c>
      <c r="I381" s="2">
        <v>49336000</v>
      </c>
      <c r="J381" s="2" t="str">
        <f>TEXT(Table1[[#This Row],[Date]],"dddd")</f>
        <v>Thursday</v>
      </c>
      <c r="K381" s="2" t="str">
        <f>TEXT(Table1[[#This Row],[Date]],"mmmm")</f>
        <v>October</v>
      </c>
      <c r="L381" s="3" t="str">
        <f>TEXT(Table1[[#This Row],[Date]],"yyyy")</f>
        <v>2013</v>
      </c>
    </row>
    <row r="382" spans="3:12" x14ac:dyDescent="0.3">
      <c r="C382" s="4">
        <v>41579</v>
      </c>
      <c r="D382" s="5">
        <v>18.281499862670898</v>
      </c>
      <c r="E382" s="5">
        <v>18.288499832153299</v>
      </c>
      <c r="F382" s="5">
        <v>17.8050003051757</v>
      </c>
      <c r="G382" s="5">
        <v>17.9500007629394</v>
      </c>
      <c r="H382" s="5">
        <v>17.9500007629394</v>
      </c>
      <c r="I382" s="5">
        <v>66620000</v>
      </c>
      <c r="J382" s="2" t="str">
        <f>TEXT(Table1[[#This Row],[Date]],"dddd")</f>
        <v>Friday</v>
      </c>
      <c r="K382" s="5" t="str">
        <f>TEXT(Table1[[#This Row],[Date]],"mmmm")</f>
        <v>November</v>
      </c>
      <c r="L382" s="3" t="str">
        <f>TEXT(Table1[[#This Row],[Date]],"yyyy")</f>
        <v>2013</v>
      </c>
    </row>
    <row r="383" spans="3:12" x14ac:dyDescent="0.3">
      <c r="C383" s="1">
        <v>41582</v>
      </c>
      <c r="D383" s="2">
        <v>18.0060005187988</v>
      </c>
      <c r="E383" s="2">
        <v>18.049999237060501</v>
      </c>
      <c r="F383" s="2">
        <v>17.7199993133544</v>
      </c>
      <c r="G383" s="2">
        <v>17.9370002746582</v>
      </c>
      <c r="H383" s="2">
        <v>17.9370002746582</v>
      </c>
      <c r="I383" s="2">
        <v>38768000</v>
      </c>
      <c r="J383" s="2" t="str">
        <f>TEXT(Table1[[#This Row],[Date]],"dddd")</f>
        <v>Monday</v>
      </c>
      <c r="K383" s="2" t="str">
        <f>TEXT(Table1[[#This Row],[Date]],"mmmm")</f>
        <v>November</v>
      </c>
      <c r="L383" s="3" t="str">
        <f>TEXT(Table1[[#This Row],[Date]],"yyyy")</f>
        <v>2013</v>
      </c>
    </row>
    <row r="384" spans="3:12" x14ac:dyDescent="0.3">
      <c r="C384" s="4">
        <v>41583</v>
      </c>
      <c r="D384" s="5">
        <v>17.839000701904201</v>
      </c>
      <c r="E384" s="5">
        <v>18.008499145507798</v>
      </c>
      <c r="F384" s="5">
        <v>17.742000579833899</v>
      </c>
      <c r="G384" s="5">
        <v>17.944499969482401</v>
      </c>
      <c r="H384" s="5">
        <v>17.944499969482401</v>
      </c>
      <c r="I384" s="5">
        <v>40142000</v>
      </c>
      <c r="J384" s="2" t="str">
        <f>TEXT(Table1[[#This Row],[Date]],"dddd")</f>
        <v>Tuesday</v>
      </c>
      <c r="K384" s="5" t="str">
        <f>TEXT(Table1[[#This Row],[Date]],"mmmm")</f>
        <v>November</v>
      </c>
      <c r="L384" s="3" t="str">
        <f>TEXT(Table1[[#This Row],[Date]],"yyyy")</f>
        <v>2013</v>
      </c>
    </row>
    <row r="385" spans="3:12" x14ac:dyDescent="0.3">
      <c r="C385" s="1">
        <v>41584</v>
      </c>
      <c r="D385" s="2">
        <v>18.022499084472599</v>
      </c>
      <c r="E385" s="2">
        <v>18.143499374389599</v>
      </c>
      <c r="F385" s="2">
        <v>17.725000381469702</v>
      </c>
      <c r="G385" s="2">
        <v>17.8090000152587</v>
      </c>
      <c r="H385" s="2">
        <v>17.8090000152587</v>
      </c>
      <c r="I385" s="2">
        <v>45646000</v>
      </c>
      <c r="J385" s="2" t="str">
        <f>TEXT(Table1[[#This Row],[Date]],"dddd")</f>
        <v>Wednesday</v>
      </c>
      <c r="K385" s="2" t="str">
        <f>TEXT(Table1[[#This Row],[Date]],"mmmm")</f>
        <v>November</v>
      </c>
      <c r="L385" s="3" t="str">
        <f>TEXT(Table1[[#This Row],[Date]],"yyyy")</f>
        <v>2013</v>
      </c>
    </row>
    <row r="386" spans="3:12" x14ac:dyDescent="0.3">
      <c r="C386" s="4">
        <v>41585</v>
      </c>
      <c r="D386" s="5">
        <v>17.7929992675781</v>
      </c>
      <c r="E386" s="5">
        <v>17.895000457763601</v>
      </c>
      <c r="F386" s="5">
        <v>17.093999862670898</v>
      </c>
      <c r="G386" s="5">
        <v>17.177999496459901</v>
      </c>
      <c r="H386" s="5">
        <v>17.177999496459901</v>
      </c>
      <c r="I386" s="5">
        <v>84926000</v>
      </c>
      <c r="J386" s="2" t="str">
        <f>TEXT(Table1[[#This Row],[Date]],"dddd")</f>
        <v>Thursday</v>
      </c>
      <c r="K386" s="5" t="str">
        <f>TEXT(Table1[[#This Row],[Date]],"mmmm")</f>
        <v>November</v>
      </c>
      <c r="L386" s="3" t="str">
        <f>TEXT(Table1[[#This Row],[Date]],"yyyy")</f>
        <v>2013</v>
      </c>
    </row>
    <row r="387" spans="3:12" x14ac:dyDescent="0.3">
      <c r="C387" s="1">
        <v>41586</v>
      </c>
      <c r="D387" s="2">
        <v>17.297500610351499</v>
      </c>
      <c r="E387" s="2">
        <v>17.5524997711181</v>
      </c>
      <c r="F387" s="2">
        <v>17.201999664306602</v>
      </c>
      <c r="G387" s="2">
        <v>17.515499114990199</v>
      </c>
      <c r="H387" s="2">
        <v>17.515499114990199</v>
      </c>
      <c r="I387" s="2">
        <v>53138000</v>
      </c>
      <c r="J387" s="2" t="str">
        <f>TEXT(Table1[[#This Row],[Date]],"dddd")</f>
        <v>Friday</v>
      </c>
      <c r="K387" s="2" t="str">
        <f>TEXT(Table1[[#This Row],[Date]],"mmmm")</f>
        <v>November</v>
      </c>
      <c r="L387" s="3" t="str">
        <f>TEXT(Table1[[#This Row],[Date]],"yyyy")</f>
        <v>2013</v>
      </c>
    </row>
    <row r="388" spans="3:12" x14ac:dyDescent="0.3">
      <c r="C388" s="4">
        <v>41589</v>
      </c>
      <c r="D388" s="5">
        <v>17.529499053955</v>
      </c>
      <c r="E388" s="5">
        <v>17.768499374389599</v>
      </c>
      <c r="F388" s="5">
        <v>17.402999877929599</v>
      </c>
      <c r="G388" s="5">
        <v>17.718999862670898</v>
      </c>
      <c r="H388" s="5">
        <v>17.718999862670898</v>
      </c>
      <c r="I388" s="5">
        <v>45234000</v>
      </c>
      <c r="J388" s="2" t="str">
        <f>TEXT(Table1[[#This Row],[Date]],"dddd")</f>
        <v>Monday</v>
      </c>
      <c r="K388" s="5" t="str">
        <f>TEXT(Table1[[#This Row],[Date]],"mmmm")</f>
        <v>November</v>
      </c>
      <c r="L388" s="3" t="str">
        <f>TEXT(Table1[[#This Row],[Date]],"yyyy")</f>
        <v>2013</v>
      </c>
    </row>
    <row r="389" spans="3:12" x14ac:dyDescent="0.3">
      <c r="C389" s="1">
        <v>41590</v>
      </c>
      <c r="D389" s="2">
        <v>17.649499893188398</v>
      </c>
      <c r="E389" s="2">
        <v>17.774000167846602</v>
      </c>
      <c r="F389" s="2">
        <v>17.364000320434499</v>
      </c>
      <c r="G389" s="2">
        <v>17.476499557495099</v>
      </c>
      <c r="H389" s="2">
        <v>17.476499557495099</v>
      </c>
      <c r="I389" s="2">
        <v>46862000</v>
      </c>
      <c r="J389" s="2" t="str">
        <f>TEXT(Table1[[#This Row],[Date]],"dddd")</f>
        <v>Tuesday</v>
      </c>
      <c r="K389" s="2" t="str">
        <f>TEXT(Table1[[#This Row],[Date]],"mmmm")</f>
        <v>November</v>
      </c>
      <c r="L389" s="3" t="str">
        <f>TEXT(Table1[[#This Row],[Date]],"yyyy")</f>
        <v>2013</v>
      </c>
    </row>
    <row r="390" spans="3:12" x14ac:dyDescent="0.3">
      <c r="C390" s="4">
        <v>41591</v>
      </c>
      <c r="D390" s="5">
        <v>17.370000839233398</v>
      </c>
      <c r="E390" s="5">
        <v>17.811000823974599</v>
      </c>
      <c r="F390" s="5">
        <v>17.284000396728501</v>
      </c>
      <c r="G390" s="5">
        <v>17.811000823974599</v>
      </c>
      <c r="H390" s="5">
        <v>17.811000823974599</v>
      </c>
      <c r="I390" s="5">
        <v>55466000</v>
      </c>
      <c r="J390" s="2" t="str">
        <f>TEXT(Table1[[#This Row],[Date]],"dddd")</f>
        <v>Wednesday</v>
      </c>
      <c r="K390" s="5" t="str">
        <f>TEXT(Table1[[#This Row],[Date]],"mmmm")</f>
        <v>November</v>
      </c>
      <c r="L390" s="3" t="str">
        <f>TEXT(Table1[[#This Row],[Date]],"yyyy")</f>
        <v>2013</v>
      </c>
    </row>
    <row r="391" spans="3:12" x14ac:dyDescent="0.3">
      <c r="C391" s="1">
        <v>41592</v>
      </c>
      <c r="D391" s="2">
        <v>17.869499206542901</v>
      </c>
      <c r="E391" s="2">
        <v>18.44700050354</v>
      </c>
      <c r="F391" s="2">
        <v>17.8215007781982</v>
      </c>
      <c r="G391" s="2">
        <v>18.370000839233398</v>
      </c>
      <c r="H391" s="2">
        <v>18.370000839233398</v>
      </c>
      <c r="I391" s="2">
        <v>83196000</v>
      </c>
      <c r="J391" s="2" t="str">
        <f>TEXT(Table1[[#This Row],[Date]],"dddd")</f>
        <v>Thursday</v>
      </c>
      <c r="K391" s="2" t="str">
        <f>TEXT(Table1[[#This Row],[Date]],"mmmm")</f>
        <v>November</v>
      </c>
      <c r="L391" s="3" t="str">
        <f>TEXT(Table1[[#This Row],[Date]],"yyyy")</f>
        <v>2013</v>
      </c>
    </row>
    <row r="392" spans="3:12" x14ac:dyDescent="0.3">
      <c r="C392" s="4">
        <v>41593</v>
      </c>
      <c r="D392" s="5">
        <v>18.3815002441406</v>
      </c>
      <c r="E392" s="5">
        <v>18.645000457763601</v>
      </c>
      <c r="F392" s="5">
        <v>18.277500152587798</v>
      </c>
      <c r="G392" s="5">
        <v>18.458499908447202</v>
      </c>
      <c r="H392" s="5">
        <v>18.458499908447202</v>
      </c>
      <c r="I392" s="5">
        <v>89832000</v>
      </c>
      <c r="J392" s="2" t="str">
        <f>TEXT(Table1[[#This Row],[Date]],"dddd")</f>
        <v>Friday</v>
      </c>
      <c r="K392" s="5" t="str">
        <f>TEXT(Table1[[#This Row],[Date]],"mmmm")</f>
        <v>November</v>
      </c>
      <c r="L392" s="3" t="str">
        <f>TEXT(Table1[[#This Row],[Date]],"yyyy")</f>
        <v>2013</v>
      </c>
    </row>
    <row r="393" spans="3:12" x14ac:dyDescent="0.3">
      <c r="C393" s="1">
        <v>41596</v>
      </c>
      <c r="D393" s="2">
        <v>18.513999938964801</v>
      </c>
      <c r="E393" s="2">
        <v>18.6744995117187</v>
      </c>
      <c r="F393" s="2">
        <v>18.2334995269775</v>
      </c>
      <c r="G393" s="2">
        <v>18.3090000152587</v>
      </c>
      <c r="H393" s="2">
        <v>18.3090000152587</v>
      </c>
      <c r="I393" s="2">
        <v>54748000</v>
      </c>
      <c r="J393" s="2" t="str">
        <f>TEXT(Table1[[#This Row],[Date]],"dddd")</f>
        <v>Monday</v>
      </c>
      <c r="K393" s="2" t="str">
        <f>TEXT(Table1[[#This Row],[Date]],"mmmm")</f>
        <v>November</v>
      </c>
      <c r="L393" s="3" t="str">
        <f>TEXT(Table1[[#This Row],[Date]],"yyyy")</f>
        <v>2013</v>
      </c>
    </row>
    <row r="394" spans="3:12" x14ac:dyDescent="0.3">
      <c r="C394" s="4">
        <v>41597</v>
      </c>
      <c r="D394" s="5">
        <v>18.291000366210898</v>
      </c>
      <c r="E394" s="5">
        <v>18.438999176025298</v>
      </c>
      <c r="F394" s="5">
        <v>18.125</v>
      </c>
      <c r="G394" s="5">
        <v>18.246999740600501</v>
      </c>
      <c r="H394" s="5">
        <v>18.246999740600501</v>
      </c>
      <c r="I394" s="5">
        <v>38096000</v>
      </c>
      <c r="J394" s="2" t="str">
        <f>TEXT(Table1[[#This Row],[Date]],"dddd")</f>
        <v>Tuesday</v>
      </c>
      <c r="K394" s="5" t="str">
        <f>TEXT(Table1[[#This Row],[Date]],"mmmm")</f>
        <v>November</v>
      </c>
      <c r="L394" s="3" t="str">
        <f>TEXT(Table1[[#This Row],[Date]],"yyyy")</f>
        <v>2013</v>
      </c>
    </row>
    <row r="395" spans="3:12" x14ac:dyDescent="0.3">
      <c r="C395" s="1">
        <v>41598</v>
      </c>
      <c r="D395" s="2">
        <v>18.3780002593994</v>
      </c>
      <c r="E395" s="2">
        <v>18.3780002593994</v>
      </c>
      <c r="F395" s="2">
        <v>18.022499084472599</v>
      </c>
      <c r="G395" s="2">
        <v>18.1284999847412</v>
      </c>
      <c r="H395" s="2">
        <v>18.1284999847412</v>
      </c>
      <c r="I395" s="2">
        <v>35430000</v>
      </c>
      <c r="J395" s="2" t="str">
        <f>TEXT(Table1[[#This Row],[Date]],"dddd")</f>
        <v>Wednesday</v>
      </c>
      <c r="K395" s="2" t="str">
        <f>TEXT(Table1[[#This Row],[Date]],"mmmm")</f>
        <v>November</v>
      </c>
      <c r="L395" s="3" t="str">
        <f>TEXT(Table1[[#This Row],[Date]],"yyyy")</f>
        <v>2013</v>
      </c>
    </row>
    <row r="396" spans="3:12" x14ac:dyDescent="0.3">
      <c r="C396" s="4">
        <v>41599</v>
      </c>
      <c r="D396" s="5">
        <v>18.202499389648398</v>
      </c>
      <c r="E396" s="5">
        <v>18.462499618530199</v>
      </c>
      <c r="F396" s="5">
        <v>18.165000915527301</v>
      </c>
      <c r="G396" s="5">
        <v>18.445999145507798</v>
      </c>
      <c r="H396" s="5">
        <v>18.445999145507798</v>
      </c>
      <c r="I396" s="5">
        <v>39292000</v>
      </c>
      <c r="J396" s="2" t="str">
        <f>TEXT(Table1[[#This Row],[Date]],"dddd")</f>
        <v>Thursday</v>
      </c>
      <c r="K396" s="5" t="str">
        <f>TEXT(Table1[[#This Row],[Date]],"mmmm")</f>
        <v>November</v>
      </c>
      <c r="L396" s="3" t="str">
        <f>TEXT(Table1[[#This Row],[Date]],"yyyy")</f>
        <v>2013</v>
      </c>
    </row>
    <row r="397" spans="3:12" x14ac:dyDescent="0.3">
      <c r="C397" s="1">
        <v>41600</v>
      </c>
      <c r="D397" s="2">
        <v>18.5</v>
      </c>
      <c r="E397" s="2">
        <v>18.725000381469702</v>
      </c>
      <c r="F397" s="2">
        <v>18.3155002593994</v>
      </c>
      <c r="G397" s="2">
        <v>18.615499496459901</v>
      </c>
      <c r="H397" s="2">
        <v>18.615499496459901</v>
      </c>
      <c r="I397" s="2">
        <v>59310000</v>
      </c>
      <c r="J397" s="2" t="str">
        <f>TEXT(Table1[[#This Row],[Date]],"dddd")</f>
        <v>Friday</v>
      </c>
      <c r="K397" s="2" t="str">
        <f>TEXT(Table1[[#This Row],[Date]],"mmmm")</f>
        <v>November</v>
      </c>
      <c r="L397" s="3" t="str">
        <f>TEXT(Table1[[#This Row],[Date]],"yyyy")</f>
        <v>2013</v>
      </c>
    </row>
    <row r="398" spans="3:12" x14ac:dyDescent="0.3">
      <c r="C398" s="4">
        <v>41603</v>
      </c>
      <c r="D398" s="5">
        <v>18.6909999847412</v>
      </c>
      <c r="E398" s="5">
        <v>18.889499664306602</v>
      </c>
      <c r="F398" s="5">
        <v>18.659000396728501</v>
      </c>
      <c r="G398" s="5">
        <v>18.8320007324218</v>
      </c>
      <c r="H398" s="5">
        <v>18.8320007324218</v>
      </c>
      <c r="I398" s="5">
        <v>59446000</v>
      </c>
      <c r="J398" s="2" t="str">
        <f>TEXT(Table1[[#This Row],[Date]],"dddd")</f>
        <v>Monday</v>
      </c>
      <c r="K398" s="5" t="str">
        <f>TEXT(Table1[[#This Row],[Date]],"mmmm")</f>
        <v>November</v>
      </c>
      <c r="L398" s="3" t="str">
        <f>TEXT(Table1[[#This Row],[Date]],"yyyy")</f>
        <v>2013</v>
      </c>
    </row>
    <row r="399" spans="3:12" x14ac:dyDescent="0.3">
      <c r="C399" s="1">
        <v>41604</v>
      </c>
      <c r="D399" s="2">
        <v>18.880500793456999</v>
      </c>
      <c r="E399" s="2">
        <v>19.125</v>
      </c>
      <c r="F399" s="2">
        <v>18.740999221801701</v>
      </c>
      <c r="G399" s="2">
        <v>19.0685005187988</v>
      </c>
      <c r="H399" s="2">
        <v>19.0685005187988</v>
      </c>
      <c r="I399" s="2">
        <v>54488000</v>
      </c>
      <c r="J399" s="2" t="str">
        <f>TEXT(Table1[[#This Row],[Date]],"dddd")</f>
        <v>Tuesday</v>
      </c>
      <c r="K399" s="2" t="str">
        <f>TEXT(Table1[[#This Row],[Date]],"mmmm")</f>
        <v>November</v>
      </c>
      <c r="L399" s="3" t="str">
        <f>TEXT(Table1[[#This Row],[Date]],"yyyy")</f>
        <v>2013</v>
      </c>
    </row>
    <row r="400" spans="3:12" x14ac:dyDescent="0.3">
      <c r="C400" s="4">
        <v>41605</v>
      </c>
      <c r="D400" s="5">
        <v>19.174999237060501</v>
      </c>
      <c r="E400" s="5">
        <v>19.350000381469702</v>
      </c>
      <c r="F400" s="5">
        <v>19.130500793456999</v>
      </c>
      <c r="G400" s="5">
        <v>19.335500717163001</v>
      </c>
      <c r="H400" s="5">
        <v>19.335500717163001</v>
      </c>
      <c r="I400" s="5">
        <v>45394000</v>
      </c>
      <c r="J400" s="2" t="str">
        <f>TEXT(Table1[[#This Row],[Date]],"dddd")</f>
        <v>Wednesday</v>
      </c>
      <c r="K400" s="5" t="str">
        <f>TEXT(Table1[[#This Row],[Date]],"mmmm")</f>
        <v>November</v>
      </c>
      <c r="L400" s="3" t="str">
        <f>TEXT(Table1[[#This Row],[Date]],"yyyy")</f>
        <v>2013</v>
      </c>
    </row>
    <row r="401" spans="3:12" x14ac:dyDescent="0.3">
      <c r="C401" s="1">
        <v>41607</v>
      </c>
      <c r="D401" s="2">
        <v>19.454999923706001</v>
      </c>
      <c r="E401" s="2">
        <v>19.704999923706001</v>
      </c>
      <c r="F401" s="2">
        <v>19.4309997558593</v>
      </c>
      <c r="G401" s="2">
        <v>19.6809997558593</v>
      </c>
      <c r="H401" s="2">
        <v>19.6809997558593</v>
      </c>
      <c r="I401" s="2">
        <v>48120000</v>
      </c>
      <c r="J401" s="2" t="str">
        <f>TEXT(Table1[[#This Row],[Date]],"dddd")</f>
        <v>Friday</v>
      </c>
      <c r="K401" s="2" t="str">
        <f>TEXT(Table1[[#This Row],[Date]],"mmmm")</f>
        <v>November</v>
      </c>
      <c r="L401" s="3" t="str">
        <f>TEXT(Table1[[#This Row],[Date]],"yyyy")</f>
        <v>2013</v>
      </c>
    </row>
    <row r="402" spans="3:12" x14ac:dyDescent="0.3">
      <c r="C402" s="4">
        <v>41610</v>
      </c>
      <c r="D402" s="5">
        <v>19.9500007629394</v>
      </c>
      <c r="E402" s="5">
        <v>19.9500007629394</v>
      </c>
      <c r="F402" s="5">
        <v>19.454999923706001</v>
      </c>
      <c r="G402" s="5">
        <v>19.6149997711181</v>
      </c>
      <c r="H402" s="5">
        <v>19.6149997711181</v>
      </c>
      <c r="I402" s="5">
        <v>94280000</v>
      </c>
      <c r="J402" s="2" t="str">
        <f>TEXT(Table1[[#This Row],[Date]],"dddd")</f>
        <v>Monday</v>
      </c>
      <c r="K402" s="5" t="str">
        <f>TEXT(Table1[[#This Row],[Date]],"mmmm")</f>
        <v>December</v>
      </c>
      <c r="L402" s="3" t="str">
        <f>TEXT(Table1[[#This Row],[Date]],"yyyy")</f>
        <v>2013</v>
      </c>
    </row>
    <row r="403" spans="3:12" x14ac:dyDescent="0.3">
      <c r="C403" s="1">
        <v>41611</v>
      </c>
      <c r="D403" s="2">
        <v>19.505500793456999</v>
      </c>
      <c r="E403" s="2">
        <v>19.547500610351499</v>
      </c>
      <c r="F403" s="2">
        <v>19.155000686645501</v>
      </c>
      <c r="G403" s="2">
        <v>19.2329998016357</v>
      </c>
      <c r="H403" s="2">
        <v>19.2329998016357</v>
      </c>
      <c r="I403" s="2">
        <v>74058000</v>
      </c>
      <c r="J403" s="2" t="str">
        <f>TEXT(Table1[[#This Row],[Date]],"dddd")</f>
        <v>Tuesday</v>
      </c>
      <c r="K403" s="2" t="str">
        <f>TEXT(Table1[[#This Row],[Date]],"mmmm")</f>
        <v>December</v>
      </c>
      <c r="L403" s="3" t="str">
        <f>TEXT(Table1[[#This Row],[Date]],"yyyy")</f>
        <v>2013</v>
      </c>
    </row>
    <row r="404" spans="3:12" x14ac:dyDescent="0.3">
      <c r="C404" s="4">
        <v>41612</v>
      </c>
      <c r="D404" s="5">
        <v>19.174999237060501</v>
      </c>
      <c r="E404" s="5">
        <v>19.484500885009702</v>
      </c>
      <c r="F404" s="5">
        <v>19.074499130248999</v>
      </c>
      <c r="G404" s="5">
        <v>19.298000335693299</v>
      </c>
      <c r="H404" s="5">
        <v>19.298000335693299</v>
      </c>
      <c r="I404" s="5">
        <v>47106000</v>
      </c>
      <c r="J404" s="2" t="str">
        <f>TEXT(Table1[[#This Row],[Date]],"dddd")</f>
        <v>Wednesday</v>
      </c>
      <c r="K404" s="5" t="str">
        <f>TEXT(Table1[[#This Row],[Date]],"mmmm")</f>
        <v>December</v>
      </c>
      <c r="L404" s="3" t="str">
        <f>TEXT(Table1[[#This Row],[Date]],"yyyy")</f>
        <v>2013</v>
      </c>
    </row>
    <row r="405" spans="3:12" x14ac:dyDescent="0.3">
      <c r="C405" s="1">
        <v>41613</v>
      </c>
      <c r="D405" s="2">
        <v>19.332500457763601</v>
      </c>
      <c r="E405" s="2">
        <v>19.332500457763601</v>
      </c>
      <c r="F405" s="2">
        <v>19.0685005187988</v>
      </c>
      <c r="G405" s="2">
        <v>19.224500656127901</v>
      </c>
      <c r="H405" s="2">
        <v>19.224500656127901</v>
      </c>
      <c r="I405" s="2">
        <v>38130000</v>
      </c>
      <c r="J405" s="2" t="str">
        <f>TEXT(Table1[[#This Row],[Date]],"dddd")</f>
        <v>Thursday</v>
      </c>
      <c r="K405" s="2" t="str">
        <f>TEXT(Table1[[#This Row],[Date]],"mmmm")</f>
        <v>December</v>
      </c>
      <c r="L405" s="3" t="str">
        <f>TEXT(Table1[[#This Row],[Date]],"yyyy")</f>
        <v>2013</v>
      </c>
    </row>
    <row r="406" spans="3:12" x14ac:dyDescent="0.3">
      <c r="C406" s="4">
        <v>41614</v>
      </c>
      <c r="D406" s="5">
        <v>19.4174995422363</v>
      </c>
      <c r="E406" s="5">
        <v>19.4174995422363</v>
      </c>
      <c r="F406" s="5">
        <v>19.191499710083001</v>
      </c>
      <c r="G406" s="5">
        <v>19.347499847412099</v>
      </c>
      <c r="H406" s="5">
        <v>19.347499847412099</v>
      </c>
      <c r="I406" s="5">
        <v>39694000</v>
      </c>
      <c r="J406" s="2" t="str">
        <f>TEXT(Table1[[#This Row],[Date]],"dddd")</f>
        <v>Friday</v>
      </c>
      <c r="K406" s="5" t="str">
        <f>TEXT(Table1[[#This Row],[Date]],"mmmm")</f>
        <v>December</v>
      </c>
      <c r="L406" s="3" t="str">
        <f>TEXT(Table1[[#This Row],[Date]],"yyyy")</f>
        <v>2013</v>
      </c>
    </row>
    <row r="407" spans="3:12" x14ac:dyDescent="0.3">
      <c r="C407" s="1">
        <v>41617</v>
      </c>
      <c r="D407" s="2">
        <v>19.405500411987301</v>
      </c>
      <c r="E407" s="2">
        <v>19.410499572753899</v>
      </c>
      <c r="F407" s="2">
        <v>19.1284999847412</v>
      </c>
      <c r="G407" s="2">
        <v>19.244499206542901</v>
      </c>
      <c r="H407" s="2">
        <v>19.244499206542901</v>
      </c>
      <c r="I407" s="2">
        <v>55236000</v>
      </c>
      <c r="J407" s="2" t="str">
        <f>TEXT(Table1[[#This Row],[Date]],"dddd")</f>
        <v>Monday</v>
      </c>
      <c r="K407" s="2" t="str">
        <f>TEXT(Table1[[#This Row],[Date]],"mmmm")</f>
        <v>December</v>
      </c>
      <c r="L407" s="3" t="str">
        <f>TEXT(Table1[[#This Row],[Date]],"yyyy")</f>
        <v>2013</v>
      </c>
    </row>
    <row r="408" spans="3:12" x14ac:dyDescent="0.3">
      <c r="C408" s="4">
        <v>41618</v>
      </c>
      <c r="D408" s="5">
        <v>19.1870002746582</v>
      </c>
      <c r="E408" s="5">
        <v>19.452999114990199</v>
      </c>
      <c r="F408" s="5">
        <v>19.1509990692138</v>
      </c>
      <c r="G408" s="5">
        <v>19.388999938964801</v>
      </c>
      <c r="H408" s="5">
        <v>19.388999938964801</v>
      </c>
      <c r="I408" s="5">
        <v>54736000</v>
      </c>
      <c r="J408" s="2" t="str">
        <f>TEXT(Table1[[#This Row],[Date]],"dddd")</f>
        <v>Tuesday</v>
      </c>
      <c r="K408" s="5" t="str">
        <f>TEXT(Table1[[#This Row],[Date]],"mmmm")</f>
        <v>December</v>
      </c>
      <c r="L408" s="3" t="str">
        <f>TEXT(Table1[[#This Row],[Date]],"yyyy")</f>
        <v>2013</v>
      </c>
    </row>
    <row r="409" spans="3:12" x14ac:dyDescent="0.3">
      <c r="C409" s="1">
        <v>41619</v>
      </c>
      <c r="D409" s="2">
        <v>19.367000579833899</v>
      </c>
      <c r="E409" s="2">
        <v>19.448999404907202</v>
      </c>
      <c r="F409" s="2">
        <v>19.100000381469702</v>
      </c>
      <c r="G409" s="2">
        <v>19.109500885009702</v>
      </c>
      <c r="H409" s="2">
        <v>19.109500885009702</v>
      </c>
      <c r="I409" s="2">
        <v>49026000</v>
      </c>
      <c r="J409" s="2" t="str">
        <f>TEXT(Table1[[#This Row],[Date]],"dddd")</f>
        <v>Wednesday</v>
      </c>
      <c r="K409" s="2" t="str">
        <f>TEXT(Table1[[#This Row],[Date]],"mmmm")</f>
        <v>December</v>
      </c>
      <c r="L409" s="3" t="str">
        <f>TEXT(Table1[[#This Row],[Date]],"yyyy")</f>
        <v>2013</v>
      </c>
    </row>
    <row r="410" spans="3:12" x14ac:dyDescent="0.3">
      <c r="C410" s="4">
        <v>41620</v>
      </c>
      <c r="D410" s="5">
        <v>19.062999725341701</v>
      </c>
      <c r="E410" s="5">
        <v>19.25</v>
      </c>
      <c r="F410" s="5">
        <v>18.975000381469702</v>
      </c>
      <c r="G410" s="5">
        <v>19.0625</v>
      </c>
      <c r="H410" s="5">
        <v>19.0625</v>
      </c>
      <c r="I410" s="5">
        <v>42474000</v>
      </c>
      <c r="J410" s="2" t="str">
        <f>TEXT(Table1[[#This Row],[Date]],"dddd")</f>
        <v>Thursday</v>
      </c>
      <c r="K410" s="5" t="str">
        <f>TEXT(Table1[[#This Row],[Date]],"mmmm")</f>
        <v>December</v>
      </c>
      <c r="L410" s="3" t="str">
        <f>TEXT(Table1[[#This Row],[Date]],"yyyy")</f>
        <v>2013</v>
      </c>
    </row>
    <row r="411" spans="3:12" x14ac:dyDescent="0.3">
      <c r="C411" s="1">
        <v>41621</v>
      </c>
      <c r="D411" s="2">
        <v>19.2660007476806</v>
      </c>
      <c r="E411" s="2">
        <v>19.471000671386701</v>
      </c>
      <c r="F411" s="2">
        <v>19.190000534057599</v>
      </c>
      <c r="G411" s="2">
        <v>19.211999893188398</v>
      </c>
      <c r="H411" s="2">
        <v>19.211999893188398</v>
      </c>
      <c r="I411" s="2">
        <v>60500000</v>
      </c>
      <c r="J411" s="2" t="str">
        <f>TEXT(Table1[[#This Row],[Date]],"dddd")</f>
        <v>Friday</v>
      </c>
      <c r="K411" s="2" t="str">
        <f>TEXT(Table1[[#This Row],[Date]],"mmmm")</f>
        <v>December</v>
      </c>
      <c r="L411" s="3" t="str">
        <f>TEXT(Table1[[#This Row],[Date]],"yyyy")</f>
        <v>2013</v>
      </c>
    </row>
    <row r="412" spans="3:12" x14ac:dyDescent="0.3">
      <c r="C412" s="4">
        <v>41624</v>
      </c>
      <c r="D412" s="5">
        <v>19.251499176025298</v>
      </c>
      <c r="E412" s="5">
        <v>19.584999084472599</v>
      </c>
      <c r="F412" s="5">
        <v>19.25</v>
      </c>
      <c r="G412" s="5">
        <v>19.448499679565401</v>
      </c>
      <c r="H412" s="5">
        <v>19.448499679565401</v>
      </c>
      <c r="I412" s="5">
        <v>45034000</v>
      </c>
      <c r="J412" s="2" t="str">
        <f>TEXT(Table1[[#This Row],[Date]],"dddd")</f>
        <v>Monday</v>
      </c>
      <c r="K412" s="5" t="str">
        <f>TEXT(Table1[[#This Row],[Date]],"mmmm")</f>
        <v>December</v>
      </c>
      <c r="L412" s="3" t="str">
        <f>TEXT(Table1[[#This Row],[Date]],"yyyy")</f>
        <v>2013</v>
      </c>
    </row>
    <row r="413" spans="3:12" x14ac:dyDescent="0.3">
      <c r="C413" s="1">
        <v>41625</v>
      </c>
      <c r="D413" s="2">
        <v>19.5324993133544</v>
      </c>
      <c r="E413" s="2">
        <v>19.568000793456999</v>
      </c>
      <c r="F413" s="2">
        <v>19.3250007629394</v>
      </c>
      <c r="G413" s="2">
        <v>19.382499694824201</v>
      </c>
      <c r="H413" s="2">
        <v>19.382499694824201</v>
      </c>
      <c r="I413" s="2">
        <v>46878000</v>
      </c>
      <c r="J413" s="2" t="str">
        <f>TEXT(Table1[[#This Row],[Date]],"dddd")</f>
        <v>Tuesday</v>
      </c>
      <c r="K413" s="2" t="str">
        <f>TEXT(Table1[[#This Row],[Date]],"mmmm")</f>
        <v>December</v>
      </c>
      <c r="L413" s="3" t="str">
        <f>TEXT(Table1[[#This Row],[Date]],"yyyy")</f>
        <v>2013</v>
      </c>
    </row>
    <row r="414" spans="3:12" x14ac:dyDescent="0.3">
      <c r="C414" s="4">
        <v>41626</v>
      </c>
      <c r="D414" s="5">
        <v>19.461500167846602</v>
      </c>
      <c r="E414" s="5">
        <v>19.815000534057599</v>
      </c>
      <c r="F414" s="5">
        <v>19.155000686645501</v>
      </c>
      <c r="G414" s="5">
        <v>19.798000335693299</v>
      </c>
      <c r="H414" s="5">
        <v>19.798000335693299</v>
      </c>
      <c r="I414" s="5">
        <v>69782000</v>
      </c>
      <c r="J414" s="2" t="str">
        <f>TEXT(Table1[[#This Row],[Date]],"dddd")</f>
        <v>Wednesday</v>
      </c>
      <c r="K414" s="5" t="str">
        <f>TEXT(Table1[[#This Row],[Date]],"mmmm")</f>
        <v>December</v>
      </c>
      <c r="L414" s="3" t="str">
        <f>TEXT(Table1[[#This Row],[Date]],"yyyy")</f>
        <v>2013</v>
      </c>
    </row>
    <row r="415" spans="3:12" x14ac:dyDescent="0.3">
      <c r="C415" s="1">
        <v>41627</v>
      </c>
      <c r="D415" s="2">
        <v>19.7134990692138</v>
      </c>
      <c r="E415" s="2">
        <v>19.8645000457763</v>
      </c>
      <c r="F415" s="2">
        <v>19.629999160766602</v>
      </c>
      <c r="G415" s="2">
        <v>19.75950050354</v>
      </c>
      <c r="H415" s="2">
        <v>19.75950050354</v>
      </c>
      <c r="I415" s="2">
        <v>48544000</v>
      </c>
      <c r="J415" s="2" t="str">
        <f>TEXT(Table1[[#This Row],[Date]],"dddd")</f>
        <v>Thursday</v>
      </c>
      <c r="K415" s="2" t="str">
        <f>TEXT(Table1[[#This Row],[Date]],"mmmm")</f>
        <v>December</v>
      </c>
      <c r="L415" s="3" t="str">
        <f>TEXT(Table1[[#This Row],[Date]],"yyyy")</f>
        <v>2013</v>
      </c>
    </row>
    <row r="416" spans="3:12" x14ac:dyDescent="0.3">
      <c r="C416" s="4">
        <v>41628</v>
      </c>
      <c r="D416" s="5">
        <v>19.827499389648398</v>
      </c>
      <c r="E416" s="5">
        <v>20.236000061035099</v>
      </c>
      <c r="F416" s="5">
        <v>19.788999557495099</v>
      </c>
      <c r="G416" s="5">
        <v>20.110000610351499</v>
      </c>
      <c r="H416" s="5">
        <v>20.110000610351499</v>
      </c>
      <c r="I416" s="5">
        <v>100678000</v>
      </c>
      <c r="J416" s="2" t="str">
        <f>TEXT(Table1[[#This Row],[Date]],"dddd")</f>
        <v>Friday</v>
      </c>
      <c r="K416" s="5" t="str">
        <f>TEXT(Table1[[#This Row],[Date]],"mmmm")</f>
        <v>December</v>
      </c>
      <c r="L416" s="3" t="str">
        <f>TEXT(Table1[[#This Row],[Date]],"yyyy")</f>
        <v>2013</v>
      </c>
    </row>
    <row r="417" spans="3:12" x14ac:dyDescent="0.3">
      <c r="C417" s="1">
        <v>41631</v>
      </c>
      <c r="D417" s="2">
        <v>20.184499740600501</v>
      </c>
      <c r="E417" s="2">
        <v>20.25</v>
      </c>
      <c r="F417" s="2">
        <v>19.959999084472599</v>
      </c>
      <c r="G417" s="2">
        <v>20.145999908447202</v>
      </c>
      <c r="H417" s="2">
        <v>20.145999908447202</v>
      </c>
      <c r="I417" s="2">
        <v>53190000</v>
      </c>
      <c r="J417" s="2" t="str">
        <f>TEXT(Table1[[#This Row],[Date]],"dddd")</f>
        <v>Monday</v>
      </c>
      <c r="K417" s="2" t="str">
        <f>TEXT(Table1[[#This Row],[Date]],"mmmm")</f>
        <v>December</v>
      </c>
      <c r="L417" s="3" t="str">
        <f>TEXT(Table1[[#This Row],[Date]],"yyyy")</f>
        <v>2013</v>
      </c>
    </row>
    <row r="418" spans="3:12" x14ac:dyDescent="0.3">
      <c r="C418" s="4">
        <v>41632</v>
      </c>
      <c r="D418" s="5">
        <v>20.125999450683501</v>
      </c>
      <c r="E418" s="5">
        <v>20.186000823974599</v>
      </c>
      <c r="F418" s="5">
        <v>19.8185005187988</v>
      </c>
      <c r="G418" s="5">
        <v>19.959999084472599</v>
      </c>
      <c r="H418" s="5">
        <v>19.959999084472599</v>
      </c>
      <c r="I418" s="5">
        <v>27608000</v>
      </c>
      <c r="J418" s="2" t="str">
        <f>TEXT(Table1[[#This Row],[Date]],"dddd")</f>
        <v>Tuesday</v>
      </c>
      <c r="K418" s="5" t="str">
        <f>TEXT(Table1[[#This Row],[Date]],"mmmm")</f>
        <v>December</v>
      </c>
      <c r="L418" s="3" t="str">
        <f>TEXT(Table1[[#This Row],[Date]],"yyyy")</f>
        <v>2013</v>
      </c>
    </row>
    <row r="419" spans="3:12" x14ac:dyDescent="0.3">
      <c r="C419" s="1">
        <v>41634</v>
      </c>
      <c r="D419" s="2">
        <v>20.089500427246001</v>
      </c>
      <c r="E419" s="2">
        <v>20.225999832153299</v>
      </c>
      <c r="F419" s="2">
        <v>19.840499877929599</v>
      </c>
      <c r="G419" s="2">
        <v>20.219499588012599</v>
      </c>
      <c r="H419" s="2">
        <v>20.219499588012599</v>
      </c>
      <c r="I419" s="2">
        <v>37370000</v>
      </c>
      <c r="J419" s="2" t="str">
        <f>TEXT(Table1[[#This Row],[Date]],"dddd")</f>
        <v>Thursday</v>
      </c>
      <c r="K419" s="2" t="str">
        <f>TEXT(Table1[[#This Row],[Date]],"mmmm")</f>
        <v>December</v>
      </c>
      <c r="L419" s="3" t="str">
        <f>TEXT(Table1[[#This Row],[Date]],"yyyy")</f>
        <v>2013</v>
      </c>
    </row>
    <row r="420" spans="3:12" x14ac:dyDescent="0.3">
      <c r="C420" s="4">
        <v>41635</v>
      </c>
      <c r="D420" s="5">
        <v>20.232500076293899</v>
      </c>
      <c r="E420" s="5">
        <v>20.281499862670898</v>
      </c>
      <c r="F420" s="5">
        <v>19.8125</v>
      </c>
      <c r="G420" s="5">
        <v>19.9039993286132</v>
      </c>
      <c r="H420" s="5">
        <v>19.9039993286132</v>
      </c>
      <c r="I420" s="5">
        <v>39738000</v>
      </c>
      <c r="J420" s="2" t="str">
        <f>TEXT(Table1[[#This Row],[Date]],"dddd")</f>
        <v>Friday</v>
      </c>
      <c r="K420" s="5" t="str">
        <f>TEXT(Table1[[#This Row],[Date]],"mmmm")</f>
        <v>December</v>
      </c>
      <c r="L420" s="3" t="str">
        <f>TEXT(Table1[[#This Row],[Date]],"yyyy")</f>
        <v>2013</v>
      </c>
    </row>
    <row r="421" spans="3:12" x14ac:dyDescent="0.3">
      <c r="C421" s="1">
        <v>41638</v>
      </c>
      <c r="D421" s="2">
        <v>19.970500946044901</v>
      </c>
      <c r="E421" s="2">
        <v>19.9960002899169</v>
      </c>
      <c r="F421" s="2">
        <v>19.622499465942301</v>
      </c>
      <c r="G421" s="2">
        <v>19.668500900268501</v>
      </c>
      <c r="H421" s="2">
        <v>19.668500900268501</v>
      </c>
      <c r="I421" s="2">
        <v>49742000</v>
      </c>
      <c r="J421" s="2" t="str">
        <f>TEXT(Table1[[#This Row],[Date]],"dddd")</f>
        <v>Monday</v>
      </c>
      <c r="K421" s="2" t="str">
        <f>TEXT(Table1[[#This Row],[Date]],"mmmm")</f>
        <v>December</v>
      </c>
      <c r="L421" s="3" t="str">
        <f>TEXT(Table1[[#This Row],[Date]],"yyyy")</f>
        <v>2013</v>
      </c>
    </row>
    <row r="422" spans="3:12" x14ac:dyDescent="0.3">
      <c r="C422" s="4">
        <v>41639</v>
      </c>
      <c r="D422" s="5">
        <v>19.729000091552699</v>
      </c>
      <c r="E422" s="5">
        <v>19.941499710083001</v>
      </c>
      <c r="F422" s="5">
        <v>19.690000534057599</v>
      </c>
      <c r="G422" s="5">
        <v>19.939500808715799</v>
      </c>
      <c r="H422" s="5">
        <v>19.939500808715799</v>
      </c>
      <c r="I422" s="5">
        <v>39930000</v>
      </c>
      <c r="J422" s="2" t="str">
        <f>TEXT(Table1[[#This Row],[Date]],"dddd")</f>
        <v>Tuesday</v>
      </c>
      <c r="K422" s="5" t="str">
        <f>TEXT(Table1[[#This Row],[Date]],"mmmm")</f>
        <v>December</v>
      </c>
      <c r="L422" s="3" t="str">
        <f>TEXT(Table1[[#This Row],[Date]],"yyyy")</f>
        <v>2013</v>
      </c>
    </row>
    <row r="423" spans="3:12" x14ac:dyDescent="0.3">
      <c r="C423" s="1">
        <v>41641</v>
      </c>
      <c r="D423" s="2">
        <v>19.940000534057599</v>
      </c>
      <c r="E423" s="2">
        <v>19.968000411987301</v>
      </c>
      <c r="F423" s="2">
        <v>19.701000213623001</v>
      </c>
      <c r="G423" s="2">
        <v>19.898500442504801</v>
      </c>
      <c r="H423" s="2">
        <v>19.898500442504801</v>
      </c>
      <c r="I423" s="2">
        <v>42756000</v>
      </c>
      <c r="J423" s="2" t="str">
        <f>TEXT(Table1[[#This Row],[Date]],"dddd")</f>
        <v>Thursday</v>
      </c>
      <c r="K423" s="2" t="str">
        <f>TEXT(Table1[[#This Row],[Date]],"mmmm")</f>
        <v>January</v>
      </c>
      <c r="L423" s="3" t="str">
        <f>TEXT(Table1[[#This Row],[Date]],"yyyy")</f>
        <v>2014</v>
      </c>
    </row>
    <row r="424" spans="3:12" x14ac:dyDescent="0.3">
      <c r="C424" s="4">
        <v>41642</v>
      </c>
      <c r="D424" s="5">
        <v>19.9144992828369</v>
      </c>
      <c r="E424" s="5">
        <v>20.135499954223601</v>
      </c>
      <c r="F424" s="5">
        <v>19.811000823974599</v>
      </c>
      <c r="G424" s="5">
        <v>19.82200050354</v>
      </c>
      <c r="H424" s="5">
        <v>19.82200050354</v>
      </c>
      <c r="I424" s="5">
        <v>44204000</v>
      </c>
      <c r="J424" s="2" t="str">
        <f>TEXT(Table1[[#This Row],[Date]],"dddd")</f>
        <v>Friday</v>
      </c>
      <c r="K424" s="5" t="str">
        <f>TEXT(Table1[[#This Row],[Date]],"mmmm")</f>
        <v>January</v>
      </c>
      <c r="L424" s="3" t="str">
        <f>TEXT(Table1[[#This Row],[Date]],"yyyy")</f>
        <v>2014</v>
      </c>
    </row>
    <row r="425" spans="3:12" x14ac:dyDescent="0.3">
      <c r="C425" s="1">
        <v>41645</v>
      </c>
      <c r="D425" s="2">
        <v>19.7924995422363</v>
      </c>
      <c r="E425" s="2">
        <v>19.850000381469702</v>
      </c>
      <c r="F425" s="2">
        <v>19.4209995269775</v>
      </c>
      <c r="G425" s="2">
        <v>19.681499481201101</v>
      </c>
      <c r="H425" s="2">
        <v>19.681499481201101</v>
      </c>
      <c r="I425" s="2">
        <v>63412000</v>
      </c>
      <c r="J425" s="2" t="str">
        <f>TEXT(Table1[[#This Row],[Date]],"dddd")</f>
        <v>Monday</v>
      </c>
      <c r="K425" s="2" t="str">
        <f>TEXT(Table1[[#This Row],[Date]],"mmmm")</f>
        <v>January</v>
      </c>
      <c r="L425" s="3" t="str">
        <f>TEXT(Table1[[#This Row],[Date]],"yyyy")</f>
        <v>2014</v>
      </c>
    </row>
    <row r="426" spans="3:12" x14ac:dyDescent="0.3">
      <c r="C426" s="4">
        <v>41646</v>
      </c>
      <c r="D426" s="5">
        <v>19.752000808715799</v>
      </c>
      <c r="E426" s="5">
        <v>19.923500061035099</v>
      </c>
      <c r="F426" s="5">
        <v>19.714500427246001</v>
      </c>
      <c r="G426" s="5">
        <v>19.901500701904201</v>
      </c>
      <c r="H426" s="5">
        <v>19.901500701904201</v>
      </c>
      <c r="I426" s="5">
        <v>38320000</v>
      </c>
      <c r="J426" s="2" t="str">
        <f>TEXT(Table1[[#This Row],[Date]],"dddd")</f>
        <v>Tuesday</v>
      </c>
      <c r="K426" s="5" t="str">
        <f>TEXT(Table1[[#This Row],[Date]],"mmmm")</f>
        <v>January</v>
      </c>
      <c r="L426" s="3" t="str">
        <f>TEXT(Table1[[#This Row],[Date]],"yyyy")</f>
        <v>2014</v>
      </c>
    </row>
    <row r="427" spans="3:12" x14ac:dyDescent="0.3">
      <c r="C427" s="1">
        <v>41647</v>
      </c>
      <c r="D427" s="2">
        <v>19.923500061035099</v>
      </c>
      <c r="E427" s="2">
        <v>20.149999618530199</v>
      </c>
      <c r="F427" s="2">
        <v>19.8020000457763</v>
      </c>
      <c r="G427" s="2">
        <v>20.096000671386701</v>
      </c>
      <c r="H427" s="2">
        <v>20.096000671386701</v>
      </c>
      <c r="I427" s="2">
        <v>46330000</v>
      </c>
      <c r="J427" s="2" t="str">
        <f>TEXT(Table1[[#This Row],[Date]],"dddd")</f>
        <v>Wednesday</v>
      </c>
      <c r="K427" s="2" t="str">
        <f>TEXT(Table1[[#This Row],[Date]],"mmmm")</f>
        <v>January</v>
      </c>
      <c r="L427" s="3" t="str">
        <f>TEXT(Table1[[#This Row],[Date]],"yyyy")</f>
        <v>2014</v>
      </c>
    </row>
    <row r="428" spans="3:12" x14ac:dyDescent="0.3">
      <c r="C428" s="4">
        <v>41648</v>
      </c>
      <c r="D428" s="5">
        <v>20.185499191284102</v>
      </c>
      <c r="E428" s="5">
        <v>20.344499588012599</v>
      </c>
      <c r="F428" s="5">
        <v>19.922000885009702</v>
      </c>
      <c r="G428" s="5">
        <v>20.050500869750898</v>
      </c>
      <c r="H428" s="5">
        <v>20.050500869750898</v>
      </c>
      <c r="I428" s="5">
        <v>42060000</v>
      </c>
      <c r="J428" s="2" t="str">
        <f>TEXT(Table1[[#This Row],[Date]],"dddd")</f>
        <v>Thursday</v>
      </c>
      <c r="K428" s="5" t="str">
        <f>TEXT(Table1[[#This Row],[Date]],"mmmm")</f>
        <v>January</v>
      </c>
      <c r="L428" s="3" t="str">
        <f>TEXT(Table1[[#This Row],[Date]],"yyyy")</f>
        <v>2014</v>
      </c>
    </row>
    <row r="429" spans="3:12" x14ac:dyDescent="0.3">
      <c r="C429" s="1">
        <v>41649</v>
      </c>
      <c r="D429" s="2">
        <v>20.126499176025298</v>
      </c>
      <c r="E429" s="2">
        <v>20.187999725341701</v>
      </c>
      <c r="F429" s="2">
        <v>19.690000534057599</v>
      </c>
      <c r="G429" s="2">
        <v>19.882999420166001</v>
      </c>
      <c r="H429" s="2">
        <v>19.882999420166001</v>
      </c>
      <c r="I429" s="2">
        <v>53590000</v>
      </c>
      <c r="J429" s="2" t="str">
        <f>TEXT(Table1[[#This Row],[Date]],"dddd")</f>
        <v>Friday</v>
      </c>
      <c r="K429" s="2" t="str">
        <f>TEXT(Table1[[#This Row],[Date]],"mmmm")</f>
        <v>January</v>
      </c>
      <c r="L429" s="3" t="str">
        <f>TEXT(Table1[[#This Row],[Date]],"yyyy")</f>
        <v>2014</v>
      </c>
    </row>
    <row r="430" spans="3:12" x14ac:dyDescent="0.3">
      <c r="C430" s="4">
        <v>41652</v>
      </c>
      <c r="D430" s="5">
        <v>19.899000167846602</v>
      </c>
      <c r="E430" s="5">
        <v>19.989000320434499</v>
      </c>
      <c r="F430" s="5">
        <v>19.422500610351499</v>
      </c>
      <c r="G430" s="5">
        <v>19.5489997863769</v>
      </c>
      <c r="H430" s="5">
        <v>19.5489997863769</v>
      </c>
      <c r="I430" s="5">
        <v>56898000</v>
      </c>
      <c r="J430" s="2" t="str">
        <f>TEXT(Table1[[#This Row],[Date]],"dddd")</f>
        <v>Monday</v>
      </c>
      <c r="K430" s="5" t="str">
        <f>TEXT(Table1[[#This Row],[Date]],"mmmm")</f>
        <v>January</v>
      </c>
      <c r="L430" s="3" t="str">
        <f>TEXT(Table1[[#This Row],[Date]],"yyyy")</f>
        <v>2014</v>
      </c>
    </row>
    <row r="431" spans="3:12" x14ac:dyDescent="0.3">
      <c r="C431" s="1">
        <v>41653</v>
      </c>
      <c r="D431" s="2">
        <v>19.606500625610298</v>
      </c>
      <c r="E431" s="2">
        <v>19.931499481201101</v>
      </c>
      <c r="F431" s="2">
        <v>19.564500808715799</v>
      </c>
      <c r="G431" s="2">
        <v>19.877000808715799</v>
      </c>
      <c r="H431" s="2">
        <v>19.877000808715799</v>
      </c>
      <c r="I431" s="2">
        <v>46802000</v>
      </c>
      <c r="J431" s="2" t="str">
        <f>TEXT(Table1[[#This Row],[Date]],"dddd")</f>
        <v>Tuesday</v>
      </c>
      <c r="K431" s="2" t="str">
        <f>TEXT(Table1[[#This Row],[Date]],"mmmm")</f>
        <v>January</v>
      </c>
      <c r="L431" s="3" t="str">
        <f>TEXT(Table1[[#This Row],[Date]],"yyyy")</f>
        <v>2014</v>
      </c>
    </row>
    <row r="432" spans="3:12" x14ac:dyDescent="0.3">
      <c r="C432" s="4">
        <v>41654</v>
      </c>
      <c r="D432" s="5">
        <v>19.94700050354</v>
      </c>
      <c r="E432" s="5">
        <v>19.965499877929599</v>
      </c>
      <c r="F432" s="5">
        <v>19.626499176025298</v>
      </c>
      <c r="G432" s="5">
        <v>19.793500900268501</v>
      </c>
      <c r="H432" s="5">
        <v>19.793500900268501</v>
      </c>
      <c r="I432" s="5">
        <v>53566000</v>
      </c>
      <c r="J432" s="2" t="str">
        <f>TEXT(Table1[[#This Row],[Date]],"dddd")</f>
        <v>Wednesday</v>
      </c>
      <c r="K432" s="5" t="str">
        <f>TEXT(Table1[[#This Row],[Date]],"mmmm")</f>
        <v>January</v>
      </c>
      <c r="L432" s="3" t="str">
        <f>TEXT(Table1[[#This Row],[Date]],"yyyy")</f>
        <v>2014</v>
      </c>
    </row>
    <row r="433" spans="3:12" x14ac:dyDescent="0.3">
      <c r="C433" s="1">
        <v>41655</v>
      </c>
      <c r="D433" s="2">
        <v>19.6840000152587</v>
      </c>
      <c r="E433" s="2">
        <v>19.964500427246001</v>
      </c>
      <c r="F433" s="2">
        <v>19.470500946044901</v>
      </c>
      <c r="G433" s="2">
        <v>19.790000915527301</v>
      </c>
      <c r="H433" s="2">
        <v>19.790000915527301</v>
      </c>
      <c r="I433" s="2">
        <v>52024000</v>
      </c>
      <c r="J433" s="2" t="str">
        <f>TEXT(Table1[[#This Row],[Date]],"dddd")</f>
        <v>Thursday</v>
      </c>
      <c r="K433" s="2" t="str">
        <f>TEXT(Table1[[#This Row],[Date]],"mmmm")</f>
        <v>January</v>
      </c>
      <c r="L433" s="3" t="str">
        <f>TEXT(Table1[[#This Row],[Date]],"yyyy")</f>
        <v>2014</v>
      </c>
    </row>
    <row r="434" spans="3:12" x14ac:dyDescent="0.3">
      <c r="C434" s="4">
        <v>41656</v>
      </c>
      <c r="D434" s="5">
        <v>19.712999343871999</v>
      </c>
      <c r="E434" s="5">
        <v>20.1744995117187</v>
      </c>
      <c r="F434" s="5">
        <v>19.683000564575099</v>
      </c>
      <c r="G434" s="5">
        <v>19.9804992675781</v>
      </c>
      <c r="H434" s="5">
        <v>19.9804992675781</v>
      </c>
      <c r="I434" s="5">
        <v>90102000</v>
      </c>
      <c r="J434" s="2" t="str">
        <f>TEXT(Table1[[#This Row],[Date]],"dddd")</f>
        <v>Friday</v>
      </c>
      <c r="K434" s="5" t="str">
        <f>TEXT(Table1[[#This Row],[Date]],"mmmm")</f>
        <v>January</v>
      </c>
      <c r="L434" s="3" t="str">
        <f>TEXT(Table1[[#This Row],[Date]],"yyyy")</f>
        <v>2014</v>
      </c>
    </row>
    <row r="435" spans="3:12" x14ac:dyDescent="0.3">
      <c r="C435" s="1">
        <v>41660</v>
      </c>
      <c r="D435" s="2">
        <v>20.149999618530199</v>
      </c>
      <c r="E435" s="2">
        <v>20.389999389648398</v>
      </c>
      <c r="F435" s="2">
        <v>20.079999923706001</v>
      </c>
      <c r="G435" s="2">
        <v>20.352500915527301</v>
      </c>
      <c r="H435" s="2">
        <v>20.352500915527301</v>
      </c>
      <c r="I435" s="2">
        <v>62442000</v>
      </c>
      <c r="J435" s="2" t="str">
        <f>TEXT(Table1[[#This Row],[Date]],"dddd")</f>
        <v>Tuesday</v>
      </c>
      <c r="K435" s="2" t="str">
        <f>TEXT(Table1[[#This Row],[Date]],"mmmm")</f>
        <v>January</v>
      </c>
      <c r="L435" s="3" t="str">
        <f>TEXT(Table1[[#This Row],[Date]],"yyyy")</f>
        <v>2014</v>
      </c>
    </row>
    <row r="436" spans="3:12" x14ac:dyDescent="0.3">
      <c r="C436" s="4">
        <v>41661</v>
      </c>
      <c r="D436" s="5">
        <v>20.399999618530199</v>
      </c>
      <c r="E436" s="5">
        <v>20.402999877929599</v>
      </c>
      <c r="F436" s="5">
        <v>20.100000381469702</v>
      </c>
      <c r="G436" s="5">
        <v>20.2269992828369</v>
      </c>
      <c r="H436" s="5">
        <v>20.2269992828369</v>
      </c>
      <c r="I436" s="5">
        <v>41210000</v>
      </c>
      <c r="J436" s="2" t="str">
        <f>TEXT(Table1[[#This Row],[Date]],"dddd")</f>
        <v>Wednesday</v>
      </c>
      <c r="K436" s="5" t="str">
        <f>TEXT(Table1[[#This Row],[Date]],"mmmm")</f>
        <v>January</v>
      </c>
      <c r="L436" s="3" t="str">
        <f>TEXT(Table1[[#This Row],[Date]],"yyyy")</f>
        <v>2014</v>
      </c>
    </row>
    <row r="437" spans="3:12" x14ac:dyDescent="0.3">
      <c r="C437" s="1">
        <v>41662</v>
      </c>
      <c r="D437" s="2">
        <v>20.049999237060501</v>
      </c>
      <c r="E437" s="2">
        <v>20.3085002899169</v>
      </c>
      <c r="F437" s="2">
        <v>19.889499664306602</v>
      </c>
      <c r="G437" s="2">
        <v>19.9934997558593</v>
      </c>
      <c r="H437" s="2">
        <v>19.9934997558593</v>
      </c>
      <c r="I437" s="2">
        <v>60508000</v>
      </c>
      <c r="J437" s="2" t="str">
        <f>TEXT(Table1[[#This Row],[Date]],"dddd")</f>
        <v>Thursday</v>
      </c>
      <c r="K437" s="2" t="str">
        <f>TEXT(Table1[[#This Row],[Date]],"mmmm")</f>
        <v>January</v>
      </c>
      <c r="L437" s="3" t="str">
        <f>TEXT(Table1[[#This Row],[Date]],"yyyy")</f>
        <v>2014</v>
      </c>
    </row>
    <row r="438" spans="3:12" x14ac:dyDescent="0.3">
      <c r="C438" s="4">
        <v>41663</v>
      </c>
      <c r="D438" s="5">
        <v>19.908000946044901</v>
      </c>
      <c r="E438" s="5">
        <v>20.0100002288818</v>
      </c>
      <c r="F438" s="5">
        <v>19.363500595092699</v>
      </c>
      <c r="G438" s="5">
        <v>19.379999160766602</v>
      </c>
      <c r="H438" s="5">
        <v>19.379999160766602</v>
      </c>
      <c r="I438" s="5">
        <v>89168000</v>
      </c>
      <c r="J438" s="2" t="str">
        <f>TEXT(Table1[[#This Row],[Date]],"dddd")</f>
        <v>Friday</v>
      </c>
      <c r="K438" s="5" t="str">
        <f>TEXT(Table1[[#This Row],[Date]],"mmmm")</f>
        <v>January</v>
      </c>
      <c r="L438" s="3" t="str">
        <f>TEXT(Table1[[#This Row],[Date]],"yyyy")</f>
        <v>2014</v>
      </c>
    </row>
    <row r="439" spans="3:12" x14ac:dyDescent="0.3">
      <c r="C439" s="1">
        <v>41666</v>
      </c>
      <c r="D439" s="2">
        <v>19.524999618530199</v>
      </c>
      <c r="E439" s="2">
        <v>19.704999923706001</v>
      </c>
      <c r="F439" s="2">
        <v>19.024499893188398</v>
      </c>
      <c r="G439" s="2">
        <v>19.313999176025298</v>
      </c>
      <c r="H439" s="2">
        <v>19.313999176025298</v>
      </c>
      <c r="I439" s="2">
        <v>78736000</v>
      </c>
      <c r="J439" s="2" t="str">
        <f>TEXT(Table1[[#This Row],[Date]],"dddd")</f>
        <v>Monday</v>
      </c>
      <c r="K439" s="2" t="str">
        <f>TEXT(Table1[[#This Row],[Date]],"mmmm")</f>
        <v>January</v>
      </c>
      <c r="L439" s="3" t="str">
        <f>TEXT(Table1[[#This Row],[Date]],"yyyy")</f>
        <v>2014</v>
      </c>
    </row>
    <row r="440" spans="3:12" x14ac:dyDescent="0.3">
      <c r="C440" s="4">
        <v>41667</v>
      </c>
      <c r="D440" s="5">
        <v>19.370000839233398</v>
      </c>
      <c r="E440" s="5">
        <v>19.7369995117187</v>
      </c>
      <c r="F440" s="5">
        <v>19.356000900268501</v>
      </c>
      <c r="G440" s="5">
        <v>19.721500396728501</v>
      </c>
      <c r="H440" s="5">
        <v>19.721500396728501</v>
      </c>
      <c r="I440" s="5">
        <v>57890000</v>
      </c>
      <c r="J440" s="2" t="str">
        <f>TEXT(Table1[[#This Row],[Date]],"dddd")</f>
        <v>Tuesday</v>
      </c>
      <c r="K440" s="5" t="str">
        <f>TEXT(Table1[[#This Row],[Date]],"mmmm")</f>
        <v>January</v>
      </c>
      <c r="L440" s="3" t="str">
        <f>TEXT(Table1[[#This Row],[Date]],"yyyy")</f>
        <v>2014</v>
      </c>
    </row>
    <row r="441" spans="3:12" x14ac:dyDescent="0.3">
      <c r="C441" s="1">
        <v>41668</v>
      </c>
      <c r="D441" s="2">
        <v>19.6079998016357</v>
      </c>
      <c r="E441" s="2">
        <v>19.642499923706001</v>
      </c>
      <c r="F441" s="2">
        <v>19.162000656127901</v>
      </c>
      <c r="G441" s="2">
        <v>19.209999084472599</v>
      </c>
      <c r="H441" s="2">
        <v>19.209999084472599</v>
      </c>
      <c r="I441" s="2">
        <v>67646000</v>
      </c>
      <c r="J441" s="2" t="str">
        <f>TEXT(Table1[[#This Row],[Date]],"dddd")</f>
        <v>Wednesday</v>
      </c>
      <c r="K441" s="2" t="str">
        <f>TEXT(Table1[[#This Row],[Date]],"mmmm")</f>
        <v>January</v>
      </c>
      <c r="L441" s="3" t="str">
        <f>TEXT(Table1[[#This Row],[Date]],"yyyy")</f>
        <v>2014</v>
      </c>
    </row>
    <row r="442" spans="3:12" x14ac:dyDescent="0.3">
      <c r="C442" s="4">
        <v>41669</v>
      </c>
      <c r="D442" s="5">
        <v>19.688499450683501</v>
      </c>
      <c r="E442" s="5">
        <v>20.3125</v>
      </c>
      <c r="F442" s="5">
        <v>19.3850002288818</v>
      </c>
      <c r="G442" s="5">
        <v>20.150499343871999</v>
      </c>
      <c r="H442" s="5">
        <v>20.150499343871999</v>
      </c>
      <c r="I442" s="5">
        <v>209478000</v>
      </c>
      <c r="J442" s="2" t="str">
        <f>TEXT(Table1[[#This Row],[Date]],"dddd")</f>
        <v>Thursday</v>
      </c>
      <c r="K442" s="5" t="str">
        <f>TEXT(Table1[[#This Row],[Date]],"mmmm")</f>
        <v>January</v>
      </c>
      <c r="L442" s="3" t="str">
        <f>TEXT(Table1[[#This Row],[Date]],"yyyy")</f>
        <v>2014</v>
      </c>
    </row>
    <row r="443" spans="3:12" x14ac:dyDescent="0.3">
      <c r="C443" s="1">
        <v>41670</v>
      </c>
      <c r="D443" s="2">
        <v>18.587999343871999</v>
      </c>
      <c r="E443" s="2">
        <v>18.772499084472599</v>
      </c>
      <c r="F443" s="2">
        <v>17.8880004882812</v>
      </c>
      <c r="G443" s="2">
        <v>17.934499740600501</v>
      </c>
      <c r="H443" s="2">
        <v>17.934499740600501</v>
      </c>
      <c r="I443" s="2">
        <v>323096000</v>
      </c>
      <c r="J443" s="2" t="str">
        <f>TEXT(Table1[[#This Row],[Date]],"dddd")</f>
        <v>Friday</v>
      </c>
      <c r="K443" s="2" t="str">
        <f>TEXT(Table1[[#This Row],[Date]],"mmmm")</f>
        <v>January</v>
      </c>
      <c r="L443" s="3" t="str">
        <f>TEXT(Table1[[#This Row],[Date]],"yyyy")</f>
        <v>2014</v>
      </c>
    </row>
    <row r="444" spans="3:12" x14ac:dyDescent="0.3">
      <c r="C444" s="4">
        <v>41673</v>
      </c>
      <c r="D444" s="5">
        <v>17.948999404907202</v>
      </c>
      <c r="E444" s="5">
        <v>18.0424995422363</v>
      </c>
      <c r="F444" s="5">
        <v>17.004999160766602</v>
      </c>
      <c r="G444" s="5">
        <v>17.307500839233398</v>
      </c>
      <c r="H444" s="5">
        <v>17.307500839233398</v>
      </c>
      <c r="I444" s="5">
        <v>205616000</v>
      </c>
      <c r="J444" s="2" t="str">
        <f>TEXT(Table1[[#This Row],[Date]],"dddd")</f>
        <v>Monday</v>
      </c>
      <c r="K444" s="5" t="str">
        <f>TEXT(Table1[[#This Row],[Date]],"mmmm")</f>
        <v>February</v>
      </c>
      <c r="L444" s="3" t="str">
        <f>TEXT(Table1[[#This Row],[Date]],"yyyy")</f>
        <v>2014</v>
      </c>
    </row>
    <row r="445" spans="3:12" x14ac:dyDescent="0.3">
      <c r="C445" s="1">
        <v>41674</v>
      </c>
      <c r="D445" s="2">
        <v>17.479499816894499</v>
      </c>
      <c r="E445" s="2">
        <v>17.7000007629394</v>
      </c>
      <c r="F445" s="2">
        <v>17.201000213623001</v>
      </c>
      <c r="G445" s="2">
        <v>17.397499084472599</v>
      </c>
      <c r="H445" s="2">
        <v>17.397499084472599</v>
      </c>
      <c r="I445" s="2">
        <v>96258000</v>
      </c>
      <c r="J445" s="2" t="str">
        <f>TEXT(Table1[[#This Row],[Date]],"dddd")</f>
        <v>Tuesday</v>
      </c>
      <c r="K445" s="2" t="str">
        <f>TEXT(Table1[[#This Row],[Date]],"mmmm")</f>
        <v>February</v>
      </c>
      <c r="L445" s="3" t="str">
        <f>TEXT(Table1[[#This Row],[Date]],"yyyy")</f>
        <v>2014</v>
      </c>
    </row>
    <row r="446" spans="3:12" x14ac:dyDescent="0.3">
      <c r="C446" s="4">
        <v>41675</v>
      </c>
      <c r="D446" s="5">
        <v>17.299999237060501</v>
      </c>
      <c r="E446" s="5">
        <v>17.468500137329102</v>
      </c>
      <c r="F446" s="5">
        <v>16.886499404907202</v>
      </c>
      <c r="G446" s="5">
        <v>17.3225002288818</v>
      </c>
      <c r="H446" s="5">
        <v>17.3225002288818</v>
      </c>
      <c r="I446" s="5">
        <v>88708000</v>
      </c>
      <c r="J446" s="2" t="str">
        <f>TEXT(Table1[[#This Row],[Date]],"dddd")</f>
        <v>Wednesday</v>
      </c>
      <c r="K446" s="5" t="str">
        <f>TEXT(Table1[[#This Row],[Date]],"mmmm")</f>
        <v>February</v>
      </c>
      <c r="L446" s="3" t="str">
        <f>TEXT(Table1[[#This Row],[Date]],"yyyy")</f>
        <v>2014</v>
      </c>
    </row>
    <row r="447" spans="3:12" x14ac:dyDescent="0.3">
      <c r="C447" s="1">
        <v>41676</v>
      </c>
      <c r="D447" s="2">
        <v>17.370000839233398</v>
      </c>
      <c r="E447" s="2">
        <v>17.740999221801701</v>
      </c>
      <c r="F447" s="2">
        <v>17.370000839233398</v>
      </c>
      <c r="G447" s="2">
        <v>17.729499816894499</v>
      </c>
      <c r="H447" s="2">
        <v>17.729499816894499</v>
      </c>
      <c r="I447" s="2">
        <v>66714000</v>
      </c>
      <c r="J447" s="2" t="str">
        <f>TEXT(Table1[[#This Row],[Date]],"dddd")</f>
        <v>Thursday</v>
      </c>
      <c r="K447" s="2" t="str">
        <f>TEXT(Table1[[#This Row],[Date]],"mmmm")</f>
        <v>February</v>
      </c>
      <c r="L447" s="3" t="str">
        <f>TEXT(Table1[[#This Row],[Date]],"yyyy")</f>
        <v>2014</v>
      </c>
    </row>
    <row r="448" spans="3:12" x14ac:dyDescent="0.3">
      <c r="C448" s="4">
        <v>41677</v>
      </c>
      <c r="D448" s="5">
        <v>17.948999404907202</v>
      </c>
      <c r="E448" s="5">
        <v>18.090000152587798</v>
      </c>
      <c r="F448" s="5">
        <v>17.6245002746582</v>
      </c>
      <c r="G448" s="5">
        <v>18.054000854492099</v>
      </c>
      <c r="H448" s="5">
        <v>18.054000854492099</v>
      </c>
      <c r="I448" s="5">
        <v>86610000</v>
      </c>
      <c r="J448" s="2" t="str">
        <f>TEXT(Table1[[#This Row],[Date]],"dddd")</f>
        <v>Friday</v>
      </c>
      <c r="K448" s="5" t="str">
        <f>TEXT(Table1[[#This Row],[Date]],"mmmm")</f>
        <v>February</v>
      </c>
      <c r="L448" s="3" t="str">
        <f>TEXT(Table1[[#This Row],[Date]],"yyyy")</f>
        <v>2014</v>
      </c>
    </row>
    <row r="449" spans="3:12" x14ac:dyDescent="0.3">
      <c r="C449" s="1">
        <v>41680</v>
      </c>
      <c r="D449" s="2">
        <v>18.080499649047798</v>
      </c>
      <c r="E449" s="2">
        <v>18.25</v>
      </c>
      <c r="F449" s="2">
        <v>17.967500686645501</v>
      </c>
      <c r="G449" s="2">
        <v>18.043500900268501</v>
      </c>
      <c r="H449" s="2">
        <v>18.043500900268501</v>
      </c>
      <c r="I449" s="2">
        <v>68994000</v>
      </c>
      <c r="J449" s="2" t="str">
        <f>TEXT(Table1[[#This Row],[Date]],"dddd")</f>
        <v>Monday</v>
      </c>
      <c r="K449" s="2" t="str">
        <f>TEXT(Table1[[#This Row],[Date]],"mmmm")</f>
        <v>February</v>
      </c>
      <c r="L449" s="3" t="str">
        <f>TEXT(Table1[[#This Row],[Date]],"yyyy")</f>
        <v>2014</v>
      </c>
    </row>
    <row r="450" spans="3:12" x14ac:dyDescent="0.3">
      <c r="C450" s="4">
        <v>41681</v>
      </c>
      <c r="D450" s="5">
        <v>18.091999053955</v>
      </c>
      <c r="E450" s="5">
        <v>18.1805000305175</v>
      </c>
      <c r="F450" s="5">
        <v>17.8125</v>
      </c>
      <c r="G450" s="5">
        <v>18.089500427246001</v>
      </c>
      <c r="H450" s="5">
        <v>18.089500427246001</v>
      </c>
      <c r="I450" s="5">
        <v>64442000</v>
      </c>
      <c r="J450" s="2" t="str">
        <f>TEXT(Table1[[#This Row],[Date]],"dddd")</f>
        <v>Tuesday</v>
      </c>
      <c r="K450" s="5" t="str">
        <f>TEXT(Table1[[#This Row],[Date]],"mmmm")</f>
        <v>February</v>
      </c>
      <c r="L450" s="3" t="str">
        <f>TEXT(Table1[[#This Row],[Date]],"yyyy")</f>
        <v>2014</v>
      </c>
    </row>
    <row r="451" spans="3:12" x14ac:dyDescent="0.3">
      <c r="C451" s="1">
        <v>41682</v>
      </c>
      <c r="D451" s="2">
        <v>17.8215007781982</v>
      </c>
      <c r="E451" s="2">
        <v>17.8875007629394</v>
      </c>
      <c r="F451" s="2">
        <v>17.3159999847412</v>
      </c>
      <c r="G451" s="2">
        <v>17.462499618530199</v>
      </c>
      <c r="H451" s="2">
        <v>17.462499618530199</v>
      </c>
      <c r="I451" s="2">
        <v>131754000</v>
      </c>
      <c r="J451" s="2" t="str">
        <f>TEXT(Table1[[#This Row],[Date]],"dddd")</f>
        <v>Wednesday</v>
      </c>
      <c r="K451" s="2" t="str">
        <f>TEXT(Table1[[#This Row],[Date]],"mmmm")</f>
        <v>February</v>
      </c>
      <c r="L451" s="3" t="str">
        <f>TEXT(Table1[[#This Row],[Date]],"yyyy")</f>
        <v>2014</v>
      </c>
    </row>
    <row r="452" spans="3:12" x14ac:dyDescent="0.3">
      <c r="C452" s="4">
        <v>41683</v>
      </c>
      <c r="D452" s="5">
        <v>17.3850002288818</v>
      </c>
      <c r="E452" s="5">
        <v>17.860000610351499</v>
      </c>
      <c r="F452" s="5">
        <v>17.3250007629394</v>
      </c>
      <c r="G452" s="5">
        <v>17.860000610351499</v>
      </c>
      <c r="H452" s="5">
        <v>17.860000610351499</v>
      </c>
      <c r="I452" s="5">
        <v>83500000</v>
      </c>
      <c r="J452" s="2" t="str">
        <f>TEXT(Table1[[#This Row],[Date]],"dddd")</f>
        <v>Thursday</v>
      </c>
      <c r="K452" s="5" t="str">
        <f>TEXT(Table1[[#This Row],[Date]],"mmmm")</f>
        <v>February</v>
      </c>
      <c r="L452" s="3" t="str">
        <f>TEXT(Table1[[#This Row],[Date]],"yyyy")</f>
        <v>2014</v>
      </c>
    </row>
    <row r="453" spans="3:12" x14ac:dyDescent="0.3">
      <c r="C453" s="1">
        <v>41684</v>
      </c>
      <c r="D453" s="2">
        <v>17.966999053955</v>
      </c>
      <c r="E453" s="2">
        <v>17.966999053955</v>
      </c>
      <c r="F453" s="2">
        <v>17.6674995422363</v>
      </c>
      <c r="G453" s="2">
        <v>17.8675003051757</v>
      </c>
      <c r="H453" s="2">
        <v>17.8675003051757</v>
      </c>
      <c r="I453" s="2">
        <v>70404000</v>
      </c>
      <c r="J453" s="2" t="str">
        <f>TEXT(Table1[[#This Row],[Date]],"dddd")</f>
        <v>Friday</v>
      </c>
      <c r="K453" s="2" t="str">
        <f>TEXT(Table1[[#This Row],[Date]],"mmmm")</f>
        <v>February</v>
      </c>
      <c r="L453" s="3" t="str">
        <f>TEXT(Table1[[#This Row],[Date]],"yyyy")</f>
        <v>2014</v>
      </c>
    </row>
    <row r="454" spans="3:12" x14ac:dyDescent="0.3">
      <c r="C454" s="4">
        <v>41688</v>
      </c>
      <c r="D454" s="5">
        <v>17.763999938964801</v>
      </c>
      <c r="E454" s="5">
        <v>17.786500930786101</v>
      </c>
      <c r="F454" s="5">
        <v>17.472499847412099</v>
      </c>
      <c r="G454" s="5">
        <v>17.682500839233398</v>
      </c>
      <c r="H454" s="5">
        <v>17.682500839233398</v>
      </c>
      <c r="I454" s="5">
        <v>99960000</v>
      </c>
      <c r="J454" s="2" t="str">
        <f>TEXT(Table1[[#This Row],[Date]],"dddd")</f>
        <v>Tuesday</v>
      </c>
      <c r="K454" s="5" t="str">
        <f>TEXT(Table1[[#This Row],[Date]],"mmmm")</f>
        <v>February</v>
      </c>
      <c r="L454" s="3" t="str">
        <f>TEXT(Table1[[#This Row],[Date]],"yyyy")</f>
        <v>2014</v>
      </c>
    </row>
    <row r="455" spans="3:12" x14ac:dyDescent="0.3">
      <c r="C455" s="1">
        <v>41689</v>
      </c>
      <c r="D455" s="2">
        <v>17.631999969482401</v>
      </c>
      <c r="E455" s="2">
        <v>17.7269992828369</v>
      </c>
      <c r="F455" s="2">
        <v>17.3050003051757</v>
      </c>
      <c r="G455" s="2">
        <v>17.368999481201101</v>
      </c>
      <c r="H455" s="2">
        <v>17.368999481201101</v>
      </c>
      <c r="I455" s="2">
        <v>83362000</v>
      </c>
      <c r="J455" s="2" t="str">
        <f>TEXT(Table1[[#This Row],[Date]],"dddd")</f>
        <v>Wednesday</v>
      </c>
      <c r="K455" s="2" t="str">
        <f>TEXT(Table1[[#This Row],[Date]],"mmmm")</f>
        <v>February</v>
      </c>
      <c r="L455" s="3" t="str">
        <f>TEXT(Table1[[#This Row],[Date]],"yyyy")</f>
        <v>2014</v>
      </c>
    </row>
    <row r="456" spans="3:12" x14ac:dyDescent="0.3">
      <c r="C456" s="4">
        <v>41690</v>
      </c>
      <c r="D456" s="5">
        <v>17.440000534057599</v>
      </c>
      <c r="E456" s="5">
        <v>17.523000717163001</v>
      </c>
      <c r="F456" s="5">
        <v>17.218999862670898</v>
      </c>
      <c r="G456" s="5">
        <v>17.4899997711181</v>
      </c>
      <c r="H456" s="5">
        <v>17.4899997711181</v>
      </c>
      <c r="I456" s="5">
        <v>69856000</v>
      </c>
      <c r="J456" s="2" t="str">
        <f>TEXT(Table1[[#This Row],[Date]],"dddd")</f>
        <v>Thursday</v>
      </c>
      <c r="K456" s="5" t="str">
        <f>TEXT(Table1[[#This Row],[Date]],"mmmm")</f>
        <v>February</v>
      </c>
      <c r="L456" s="3" t="str">
        <f>TEXT(Table1[[#This Row],[Date]],"yyyy")</f>
        <v>2014</v>
      </c>
    </row>
    <row r="457" spans="3:12" x14ac:dyDescent="0.3">
      <c r="C457" s="1">
        <v>41691</v>
      </c>
      <c r="D457" s="2">
        <v>17.621999740600501</v>
      </c>
      <c r="E457" s="2">
        <v>17.7070007324218</v>
      </c>
      <c r="F457" s="2">
        <v>17.337499618530199</v>
      </c>
      <c r="G457" s="2">
        <v>17.337999343871999</v>
      </c>
      <c r="H457" s="2">
        <v>17.337999343871999</v>
      </c>
      <c r="I457" s="2">
        <v>84200000</v>
      </c>
      <c r="J457" s="2" t="str">
        <f>TEXT(Table1[[#This Row],[Date]],"dddd")</f>
        <v>Friday</v>
      </c>
      <c r="K457" s="2" t="str">
        <f>TEXT(Table1[[#This Row],[Date]],"mmmm")</f>
        <v>February</v>
      </c>
      <c r="L457" s="3" t="str">
        <f>TEXT(Table1[[#This Row],[Date]],"yyyy")</f>
        <v>2014</v>
      </c>
    </row>
    <row r="458" spans="3:12" x14ac:dyDescent="0.3">
      <c r="C458" s="4">
        <v>41694</v>
      </c>
      <c r="D458" s="5">
        <v>17.25950050354</v>
      </c>
      <c r="E458" s="5">
        <v>17.649999618530199</v>
      </c>
      <c r="F458" s="5">
        <v>17.1644992828369</v>
      </c>
      <c r="G458" s="5">
        <v>17.589000701904201</v>
      </c>
      <c r="H458" s="5">
        <v>17.589000701904201</v>
      </c>
      <c r="I458" s="5">
        <v>72894000</v>
      </c>
      <c r="J458" s="2" t="str">
        <f>TEXT(Table1[[#This Row],[Date]],"dddd")</f>
        <v>Monday</v>
      </c>
      <c r="K458" s="5" t="str">
        <f>TEXT(Table1[[#This Row],[Date]],"mmmm")</f>
        <v>February</v>
      </c>
      <c r="L458" s="3" t="str">
        <f>TEXT(Table1[[#This Row],[Date]],"yyyy")</f>
        <v>2014</v>
      </c>
    </row>
    <row r="459" spans="3:12" x14ac:dyDescent="0.3">
      <c r="C459" s="1">
        <v>41695</v>
      </c>
      <c r="D459" s="2">
        <v>17.649999618530199</v>
      </c>
      <c r="E459" s="2">
        <v>18.054000854492099</v>
      </c>
      <c r="F459" s="2">
        <v>17.579000473022401</v>
      </c>
      <c r="G459" s="2">
        <v>17.916000366210898</v>
      </c>
      <c r="H459" s="2">
        <v>17.916000366210898</v>
      </c>
      <c r="I459" s="2">
        <v>74728000</v>
      </c>
      <c r="J459" s="2" t="str">
        <f>TEXT(Table1[[#This Row],[Date]],"dddd")</f>
        <v>Tuesday</v>
      </c>
      <c r="K459" s="2" t="str">
        <f>TEXT(Table1[[#This Row],[Date]],"mmmm")</f>
        <v>February</v>
      </c>
      <c r="L459" s="3" t="str">
        <f>TEXT(Table1[[#This Row],[Date]],"yyyy")</f>
        <v>2014</v>
      </c>
    </row>
    <row r="460" spans="3:12" x14ac:dyDescent="0.3">
      <c r="C460" s="4">
        <v>41696</v>
      </c>
      <c r="D460" s="5">
        <v>17.9930000305175</v>
      </c>
      <c r="E460" s="5">
        <v>18.237499237060501</v>
      </c>
      <c r="F460" s="5">
        <v>17.8584995269775</v>
      </c>
      <c r="G460" s="5">
        <v>17.9899997711181</v>
      </c>
      <c r="H460" s="5">
        <v>17.9899997711181</v>
      </c>
      <c r="I460" s="5">
        <v>72442000</v>
      </c>
      <c r="J460" s="2" t="str">
        <f>TEXT(Table1[[#This Row],[Date]],"dddd")</f>
        <v>Wednesday</v>
      </c>
      <c r="K460" s="5" t="str">
        <f>TEXT(Table1[[#This Row],[Date]],"mmmm")</f>
        <v>February</v>
      </c>
      <c r="L460" s="3" t="str">
        <f>TEXT(Table1[[#This Row],[Date]],"yyyy")</f>
        <v>2014</v>
      </c>
    </row>
    <row r="461" spans="3:12" x14ac:dyDescent="0.3">
      <c r="C461" s="1">
        <v>41697</v>
      </c>
      <c r="D461" s="2">
        <v>17.861000061035099</v>
      </c>
      <c r="E461" s="2">
        <v>18.029499053955</v>
      </c>
      <c r="F461" s="2">
        <v>17.774999618530199</v>
      </c>
      <c r="G461" s="2">
        <v>18.0065002441406</v>
      </c>
      <c r="H461" s="2">
        <v>18.0065002441406</v>
      </c>
      <c r="I461" s="2">
        <v>62098000</v>
      </c>
      <c r="J461" s="2" t="str">
        <f>TEXT(Table1[[#This Row],[Date]],"dddd")</f>
        <v>Thursday</v>
      </c>
      <c r="K461" s="2" t="str">
        <f>TEXT(Table1[[#This Row],[Date]],"mmmm")</f>
        <v>February</v>
      </c>
      <c r="L461" s="3" t="str">
        <f>TEXT(Table1[[#This Row],[Date]],"yyyy")</f>
        <v>2014</v>
      </c>
    </row>
    <row r="462" spans="3:12" x14ac:dyDescent="0.3">
      <c r="C462" s="4">
        <v>41698</v>
      </c>
      <c r="D462" s="5">
        <v>18.030000686645501</v>
      </c>
      <c r="E462" s="5">
        <v>18.293500900268501</v>
      </c>
      <c r="F462" s="5">
        <v>17.854000091552699</v>
      </c>
      <c r="G462" s="5">
        <v>18.1049995422363</v>
      </c>
      <c r="H462" s="5">
        <v>18.1049995422363</v>
      </c>
      <c r="I462" s="5">
        <v>77640000</v>
      </c>
      <c r="J462" s="2" t="str">
        <f>TEXT(Table1[[#This Row],[Date]],"dddd")</f>
        <v>Friday</v>
      </c>
      <c r="K462" s="5" t="str">
        <f>TEXT(Table1[[#This Row],[Date]],"mmmm")</f>
        <v>February</v>
      </c>
      <c r="L462" s="3" t="str">
        <f>TEXT(Table1[[#This Row],[Date]],"yyyy")</f>
        <v>2014</v>
      </c>
    </row>
    <row r="463" spans="3:12" x14ac:dyDescent="0.3">
      <c r="C463" s="1">
        <v>41701</v>
      </c>
      <c r="D463" s="2">
        <v>17.9370002746582</v>
      </c>
      <c r="E463" s="2">
        <v>18.048000335693299</v>
      </c>
      <c r="F463" s="2">
        <v>17.724000930786101</v>
      </c>
      <c r="G463" s="2">
        <v>17.989000320434499</v>
      </c>
      <c r="H463" s="2">
        <v>17.989000320434499</v>
      </c>
      <c r="I463" s="2">
        <v>55966000</v>
      </c>
      <c r="J463" s="2" t="str">
        <f>TEXT(Table1[[#This Row],[Date]],"dddd")</f>
        <v>Monday</v>
      </c>
      <c r="K463" s="2" t="str">
        <f>TEXT(Table1[[#This Row],[Date]],"mmmm")</f>
        <v>March</v>
      </c>
      <c r="L463" s="3" t="str">
        <f>TEXT(Table1[[#This Row],[Date]],"yyyy")</f>
        <v>2014</v>
      </c>
    </row>
    <row r="464" spans="3:12" x14ac:dyDescent="0.3">
      <c r="C464" s="4">
        <v>41702</v>
      </c>
      <c r="D464" s="5">
        <v>18.194999694824201</v>
      </c>
      <c r="E464" s="5">
        <v>18.284000396728501</v>
      </c>
      <c r="F464" s="5">
        <v>18.122999191284102</v>
      </c>
      <c r="G464" s="5">
        <v>18.194999694824201</v>
      </c>
      <c r="H464" s="5">
        <v>18.194999694824201</v>
      </c>
      <c r="I464" s="5">
        <v>54088000</v>
      </c>
      <c r="J464" s="2" t="str">
        <f>TEXT(Table1[[#This Row],[Date]],"dddd")</f>
        <v>Tuesday</v>
      </c>
      <c r="K464" s="5" t="str">
        <f>TEXT(Table1[[#This Row],[Date]],"mmmm")</f>
        <v>March</v>
      </c>
      <c r="L464" s="3" t="str">
        <f>TEXT(Table1[[#This Row],[Date]],"yyyy")</f>
        <v>2014</v>
      </c>
    </row>
    <row r="465" spans="3:12" x14ac:dyDescent="0.3">
      <c r="C465" s="1">
        <v>41703</v>
      </c>
      <c r="D465" s="2">
        <v>18.206499099731399</v>
      </c>
      <c r="E465" s="2">
        <v>18.636499404907202</v>
      </c>
      <c r="F465" s="2">
        <v>18.194999694824201</v>
      </c>
      <c r="G465" s="2">
        <v>18.6184997558593</v>
      </c>
      <c r="H465" s="2">
        <v>18.6184997558593</v>
      </c>
      <c r="I465" s="2">
        <v>76966000</v>
      </c>
      <c r="J465" s="2" t="str">
        <f>TEXT(Table1[[#This Row],[Date]],"dddd")</f>
        <v>Wednesday</v>
      </c>
      <c r="K465" s="2" t="str">
        <f>TEXT(Table1[[#This Row],[Date]],"mmmm")</f>
        <v>March</v>
      </c>
      <c r="L465" s="3" t="str">
        <f>TEXT(Table1[[#This Row],[Date]],"yyyy")</f>
        <v>2014</v>
      </c>
    </row>
    <row r="466" spans="3:12" x14ac:dyDescent="0.3">
      <c r="C466" s="4">
        <v>41704</v>
      </c>
      <c r="D466" s="5">
        <v>18.702499389648398</v>
      </c>
      <c r="E466" s="5">
        <v>18.766500473022401</v>
      </c>
      <c r="F466" s="5">
        <v>18.444999694824201</v>
      </c>
      <c r="G466" s="5">
        <v>18.6079998016357</v>
      </c>
      <c r="H466" s="5">
        <v>18.6079998016357</v>
      </c>
      <c r="I466" s="5">
        <v>58532000</v>
      </c>
      <c r="J466" s="2" t="str">
        <f>TEXT(Table1[[#This Row],[Date]],"dddd")</f>
        <v>Thursday</v>
      </c>
      <c r="K466" s="5" t="str">
        <f>TEXT(Table1[[#This Row],[Date]],"mmmm")</f>
        <v>March</v>
      </c>
      <c r="L466" s="3" t="str">
        <f>TEXT(Table1[[#This Row],[Date]],"yyyy")</f>
        <v>2014</v>
      </c>
    </row>
    <row r="467" spans="3:12" x14ac:dyDescent="0.3">
      <c r="C467" s="1">
        <v>41705</v>
      </c>
      <c r="D467" s="2">
        <v>18.729000091552699</v>
      </c>
      <c r="E467" s="2">
        <v>18.7495002746582</v>
      </c>
      <c r="F467" s="2">
        <v>18.476499557495099</v>
      </c>
      <c r="G467" s="2">
        <v>18.603000640869102</v>
      </c>
      <c r="H467" s="2">
        <v>18.603000640869102</v>
      </c>
      <c r="I467" s="2">
        <v>45596000</v>
      </c>
      <c r="J467" s="2" t="str">
        <f>TEXT(Table1[[#This Row],[Date]],"dddd")</f>
        <v>Friday</v>
      </c>
      <c r="K467" s="2" t="str">
        <f>TEXT(Table1[[#This Row],[Date]],"mmmm")</f>
        <v>March</v>
      </c>
      <c r="L467" s="3" t="str">
        <f>TEXT(Table1[[#This Row],[Date]],"yyyy")</f>
        <v>2014</v>
      </c>
    </row>
    <row r="468" spans="3:12" x14ac:dyDescent="0.3">
      <c r="C468" s="4">
        <v>41708</v>
      </c>
      <c r="D468" s="5">
        <v>18.63450050354</v>
      </c>
      <c r="E468" s="5">
        <v>18.636499404907202</v>
      </c>
      <c r="F468" s="5">
        <v>18.350000381469702</v>
      </c>
      <c r="G468" s="5">
        <v>18.526500701904201</v>
      </c>
      <c r="H468" s="5">
        <v>18.526500701904201</v>
      </c>
      <c r="I468" s="5">
        <v>42116000</v>
      </c>
      <c r="J468" s="2" t="str">
        <f>TEXT(Table1[[#This Row],[Date]],"dddd")</f>
        <v>Monday</v>
      </c>
      <c r="K468" s="5" t="str">
        <f>TEXT(Table1[[#This Row],[Date]],"mmmm")</f>
        <v>March</v>
      </c>
      <c r="L468" s="3" t="str">
        <f>TEXT(Table1[[#This Row],[Date]],"yyyy")</f>
        <v>2014</v>
      </c>
    </row>
    <row r="469" spans="3:12" x14ac:dyDescent="0.3">
      <c r="C469" s="1">
        <v>41709</v>
      </c>
      <c r="D469" s="2">
        <v>18.5494995117187</v>
      </c>
      <c r="E469" s="2">
        <v>18.639999389648398</v>
      </c>
      <c r="F469" s="2">
        <v>18.364000320434499</v>
      </c>
      <c r="G469" s="2">
        <v>18.4409999847412</v>
      </c>
      <c r="H469" s="2">
        <v>18.4409999847412</v>
      </c>
      <c r="I469" s="2">
        <v>44922000</v>
      </c>
      <c r="J469" s="2" t="str">
        <f>TEXT(Table1[[#This Row],[Date]],"dddd")</f>
        <v>Tuesday</v>
      </c>
      <c r="K469" s="2" t="str">
        <f>TEXT(Table1[[#This Row],[Date]],"mmmm")</f>
        <v>March</v>
      </c>
      <c r="L469" s="3" t="str">
        <f>TEXT(Table1[[#This Row],[Date]],"yyyy")</f>
        <v>2014</v>
      </c>
    </row>
    <row r="470" spans="3:12" x14ac:dyDescent="0.3">
      <c r="C470" s="4">
        <v>41710</v>
      </c>
      <c r="D470" s="5">
        <v>18.319999694824201</v>
      </c>
      <c r="E470" s="5">
        <v>18.558000564575099</v>
      </c>
      <c r="F470" s="5">
        <v>18.1805000305175</v>
      </c>
      <c r="G470" s="5">
        <v>18.531999588012599</v>
      </c>
      <c r="H470" s="5">
        <v>18.531999588012599</v>
      </c>
      <c r="I470" s="5">
        <v>44332000</v>
      </c>
      <c r="J470" s="2" t="str">
        <f>TEXT(Table1[[#This Row],[Date]],"dddd")</f>
        <v>Wednesday</v>
      </c>
      <c r="K470" s="5" t="str">
        <f>TEXT(Table1[[#This Row],[Date]],"mmmm")</f>
        <v>March</v>
      </c>
      <c r="L470" s="3" t="str">
        <f>TEXT(Table1[[#This Row],[Date]],"yyyy")</f>
        <v>2014</v>
      </c>
    </row>
    <row r="471" spans="3:12" x14ac:dyDescent="0.3">
      <c r="C471" s="1">
        <v>41711</v>
      </c>
      <c r="D471" s="2">
        <v>18.830999374389599</v>
      </c>
      <c r="E471" s="2">
        <v>19.155500411987301</v>
      </c>
      <c r="F471" s="2">
        <v>18.4039993286132</v>
      </c>
      <c r="G471" s="2">
        <v>18.5755004882812</v>
      </c>
      <c r="H471" s="2">
        <v>18.5755004882812</v>
      </c>
      <c r="I471" s="2">
        <v>136580000</v>
      </c>
      <c r="J471" s="2" t="str">
        <f>TEXT(Table1[[#This Row],[Date]],"dddd")</f>
        <v>Thursday</v>
      </c>
      <c r="K471" s="2" t="str">
        <f>TEXT(Table1[[#This Row],[Date]],"mmmm")</f>
        <v>March</v>
      </c>
      <c r="L471" s="3" t="str">
        <f>TEXT(Table1[[#This Row],[Date]],"yyyy")</f>
        <v>2014</v>
      </c>
    </row>
    <row r="472" spans="3:12" x14ac:dyDescent="0.3">
      <c r="C472" s="4">
        <v>41712</v>
      </c>
      <c r="D472" s="5">
        <v>18.639999389648398</v>
      </c>
      <c r="E472" s="5">
        <v>18.928499221801701</v>
      </c>
      <c r="F472" s="5">
        <v>18.577499389648398</v>
      </c>
      <c r="G472" s="5">
        <v>18.6870002746582</v>
      </c>
      <c r="H472" s="5">
        <v>18.6870002746582</v>
      </c>
      <c r="I472" s="5">
        <v>88044000</v>
      </c>
      <c r="J472" s="2" t="str">
        <f>TEXT(Table1[[#This Row],[Date]],"dddd")</f>
        <v>Friday</v>
      </c>
      <c r="K472" s="5" t="str">
        <f>TEXT(Table1[[#This Row],[Date]],"mmmm")</f>
        <v>March</v>
      </c>
      <c r="L472" s="3" t="str">
        <f>TEXT(Table1[[#This Row],[Date]],"yyyy")</f>
        <v>2014</v>
      </c>
    </row>
    <row r="473" spans="3:12" x14ac:dyDescent="0.3">
      <c r="C473" s="1">
        <v>41715</v>
      </c>
      <c r="D473" s="2">
        <v>18.7859992980957</v>
      </c>
      <c r="E473" s="2">
        <v>18.942499160766602</v>
      </c>
      <c r="F473" s="2">
        <v>18.743999481201101</v>
      </c>
      <c r="G473" s="2">
        <v>18.752000808715799</v>
      </c>
      <c r="H473" s="2">
        <v>18.752000808715799</v>
      </c>
      <c r="I473" s="2">
        <v>46060000</v>
      </c>
      <c r="J473" s="2" t="str">
        <f>TEXT(Table1[[#This Row],[Date]],"dddd")</f>
        <v>Monday</v>
      </c>
      <c r="K473" s="2" t="str">
        <f>TEXT(Table1[[#This Row],[Date]],"mmmm")</f>
        <v>March</v>
      </c>
      <c r="L473" s="3" t="str">
        <f>TEXT(Table1[[#This Row],[Date]],"yyyy")</f>
        <v>2014</v>
      </c>
    </row>
    <row r="474" spans="3:12" x14ac:dyDescent="0.3">
      <c r="C474" s="4">
        <v>41716</v>
      </c>
      <c r="D474" s="5">
        <v>18.865999221801701</v>
      </c>
      <c r="E474" s="5">
        <v>18.9500007629394</v>
      </c>
      <c r="F474" s="5">
        <v>18.75</v>
      </c>
      <c r="G474" s="5">
        <v>18.938499450683501</v>
      </c>
      <c r="H474" s="5">
        <v>18.938499450683501</v>
      </c>
      <c r="I474" s="5">
        <v>49670000</v>
      </c>
      <c r="J474" s="2" t="str">
        <f>TEXT(Table1[[#This Row],[Date]],"dddd")</f>
        <v>Tuesday</v>
      </c>
      <c r="K474" s="5" t="str">
        <f>TEXT(Table1[[#This Row],[Date]],"mmmm")</f>
        <v>March</v>
      </c>
      <c r="L474" s="3" t="str">
        <f>TEXT(Table1[[#This Row],[Date]],"yyyy")</f>
        <v>2014</v>
      </c>
    </row>
    <row r="475" spans="3:12" x14ac:dyDescent="0.3">
      <c r="C475" s="1">
        <v>41717</v>
      </c>
      <c r="D475" s="2">
        <v>18.938499450683501</v>
      </c>
      <c r="E475" s="2">
        <v>18.9500007629394</v>
      </c>
      <c r="F475" s="2">
        <v>18.471000671386701</v>
      </c>
      <c r="G475" s="2">
        <v>18.661500930786101</v>
      </c>
      <c r="H475" s="2">
        <v>18.661500930786101</v>
      </c>
      <c r="I475" s="2">
        <v>52934000</v>
      </c>
      <c r="J475" s="2" t="str">
        <f>TEXT(Table1[[#This Row],[Date]],"dddd")</f>
        <v>Wednesday</v>
      </c>
      <c r="K475" s="2" t="str">
        <f>TEXT(Table1[[#This Row],[Date]],"mmmm")</f>
        <v>March</v>
      </c>
      <c r="L475" s="3" t="str">
        <f>TEXT(Table1[[#This Row],[Date]],"yyyy")</f>
        <v>2014</v>
      </c>
    </row>
    <row r="476" spans="3:12" x14ac:dyDescent="0.3">
      <c r="C476" s="4">
        <v>41718</v>
      </c>
      <c r="D476" s="5">
        <v>18.531999588012599</v>
      </c>
      <c r="E476" s="5">
        <v>18.649999618530199</v>
      </c>
      <c r="F476" s="5">
        <v>18.311000823974599</v>
      </c>
      <c r="G476" s="5">
        <v>18.448499679565401</v>
      </c>
      <c r="H476" s="5">
        <v>18.448499679565401</v>
      </c>
      <c r="I476" s="5">
        <v>51170000</v>
      </c>
      <c r="J476" s="2" t="str">
        <f>TEXT(Table1[[#This Row],[Date]],"dddd")</f>
        <v>Thursday</v>
      </c>
      <c r="K476" s="5" t="str">
        <f>TEXT(Table1[[#This Row],[Date]],"mmmm")</f>
        <v>March</v>
      </c>
      <c r="L476" s="3" t="str">
        <f>TEXT(Table1[[#This Row],[Date]],"yyyy")</f>
        <v>2014</v>
      </c>
    </row>
    <row r="477" spans="3:12" x14ac:dyDescent="0.3">
      <c r="C477" s="1">
        <v>41719</v>
      </c>
      <c r="D477" s="2">
        <v>18.549999237060501</v>
      </c>
      <c r="E477" s="2">
        <v>18.642000198364201</v>
      </c>
      <c r="F477" s="2">
        <v>17.920000076293899</v>
      </c>
      <c r="G477" s="2">
        <v>18.031000137329102</v>
      </c>
      <c r="H477" s="2">
        <v>18.031000137329102</v>
      </c>
      <c r="I477" s="2">
        <v>108282000</v>
      </c>
      <c r="J477" s="2" t="str">
        <f>TEXT(Table1[[#This Row],[Date]],"dddd")</f>
        <v>Friday</v>
      </c>
      <c r="K477" s="2" t="str">
        <f>TEXT(Table1[[#This Row],[Date]],"mmmm")</f>
        <v>March</v>
      </c>
      <c r="L477" s="3" t="str">
        <f>TEXT(Table1[[#This Row],[Date]],"yyyy")</f>
        <v>2014</v>
      </c>
    </row>
    <row r="478" spans="3:12" x14ac:dyDescent="0.3">
      <c r="C478" s="4">
        <v>41722</v>
      </c>
      <c r="D478" s="5">
        <v>18.004499435424801</v>
      </c>
      <c r="E478" s="5">
        <v>18.0750007629394</v>
      </c>
      <c r="F478" s="5">
        <v>17.4300003051757</v>
      </c>
      <c r="G478" s="5">
        <v>17.592500686645501</v>
      </c>
      <c r="H478" s="5">
        <v>17.592500686645501</v>
      </c>
      <c r="I478" s="5">
        <v>97470000</v>
      </c>
      <c r="J478" s="2" t="str">
        <f>TEXT(Table1[[#This Row],[Date]],"dddd")</f>
        <v>Monday</v>
      </c>
      <c r="K478" s="5" t="str">
        <f>TEXT(Table1[[#This Row],[Date]],"mmmm")</f>
        <v>March</v>
      </c>
      <c r="L478" s="3" t="str">
        <f>TEXT(Table1[[#This Row],[Date]],"yyyy")</f>
        <v>2014</v>
      </c>
    </row>
    <row r="479" spans="3:12" x14ac:dyDescent="0.3">
      <c r="C479" s="1">
        <v>41723</v>
      </c>
      <c r="D479" s="2">
        <v>17.701499938964801</v>
      </c>
      <c r="E479" s="2">
        <v>17.948499679565401</v>
      </c>
      <c r="F479" s="2">
        <v>17.441999435424801</v>
      </c>
      <c r="G479" s="2">
        <v>17.735500335693299</v>
      </c>
      <c r="H479" s="2">
        <v>17.735500335693299</v>
      </c>
      <c r="I479" s="2">
        <v>88914000</v>
      </c>
      <c r="J479" s="2" t="str">
        <f>TEXT(Table1[[#This Row],[Date]],"dddd")</f>
        <v>Tuesday</v>
      </c>
      <c r="K479" s="2" t="str">
        <f>TEXT(Table1[[#This Row],[Date]],"mmmm")</f>
        <v>March</v>
      </c>
      <c r="L479" s="3" t="str">
        <f>TEXT(Table1[[#This Row],[Date]],"yyyy")</f>
        <v>2014</v>
      </c>
    </row>
    <row r="480" spans="3:12" x14ac:dyDescent="0.3">
      <c r="C480" s="4">
        <v>41724</v>
      </c>
      <c r="D480" s="5">
        <v>17.856500625610298</v>
      </c>
      <c r="E480" s="5">
        <v>17.879999160766602</v>
      </c>
      <c r="F480" s="5">
        <v>17.170000076293899</v>
      </c>
      <c r="G480" s="5">
        <v>17.1704998016357</v>
      </c>
      <c r="H480" s="5">
        <v>17.1704998016357</v>
      </c>
      <c r="I480" s="5">
        <v>82414000</v>
      </c>
      <c r="J480" s="2" t="str">
        <f>TEXT(Table1[[#This Row],[Date]],"dddd")</f>
        <v>Wednesday</v>
      </c>
      <c r="K480" s="5" t="str">
        <f>TEXT(Table1[[#This Row],[Date]],"mmmm")</f>
        <v>March</v>
      </c>
      <c r="L480" s="3" t="str">
        <f>TEXT(Table1[[#This Row],[Date]],"yyyy")</f>
        <v>2014</v>
      </c>
    </row>
    <row r="481" spans="3:12" x14ac:dyDescent="0.3">
      <c r="C481" s="1">
        <v>41725</v>
      </c>
      <c r="D481" s="2">
        <v>17.1574993133544</v>
      </c>
      <c r="E481" s="2">
        <v>17.2000007629394</v>
      </c>
      <c r="F481" s="2">
        <v>16.544000625610298</v>
      </c>
      <c r="G481" s="2">
        <v>16.923500061035099</v>
      </c>
      <c r="H481" s="2">
        <v>16.923500061035099</v>
      </c>
      <c r="I481" s="2">
        <v>115328000</v>
      </c>
      <c r="J481" s="2" t="str">
        <f>TEXT(Table1[[#This Row],[Date]],"dddd")</f>
        <v>Thursday</v>
      </c>
      <c r="K481" s="2" t="str">
        <f>TEXT(Table1[[#This Row],[Date]],"mmmm")</f>
        <v>March</v>
      </c>
      <c r="L481" s="3" t="str">
        <f>TEXT(Table1[[#This Row],[Date]],"yyyy")</f>
        <v>2014</v>
      </c>
    </row>
    <row r="482" spans="3:12" x14ac:dyDescent="0.3">
      <c r="C482" s="4">
        <v>41726</v>
      </c>
      <c r="D482" s="5">
        <v>17.002500534057599</v>
      </c>
      <c r="E482" s="5">
        <v>17.350000381469702</v>
      </c>
      <c r="F482" s="5">
        <v>16.804000854492099</v>
      </c>
      <c r="G482" s="5">
        <v>16.9144992828369</v>
      </c>
      <c r="H482" s="5">
        <v>16.9144992828369</v>
      </c>
      <c r="I482" s="5">
        <v>79736000</v>
      </c>
      <c r="J482" s="2" t="str">
        <f>TEXT(Table1[[#This Row],[Date]],"dddd")</f>
        <v>Friday</v>
      </c>
      <c r="K482" s="5" t="str">
        <f>TEXT(Table1[[#This Row],[Date]],"mmmm")</f>
        <v>March</v>
      </c>
      <c r="L482" s="3" t="str">
        <f>TEXT(Table1[[#This Row],[Date]],"yyyy")</f>
        <v>2014</v>
      </c>
    </row>
    <row r="483" spans="3:12" x14ac:dyDescent="0.3">
      <c r="C483" s="1">
        <v>41729</v>
      </c>
      <c r="D483" s="2">
        <v>17.120000839233398</v>
      </c>
      <c r="E483" s="2">
        <v>17.314500808715799</v>
      </c>
      <c r="F483" s="2">
        <v>16.702999114990199</v>
      </c>
      <c r="G483" s="2">
        <v>16.8185005187988</v>
      </c>
      <c r="H483" s="2">
        <v>16.8185005187988</v>
      </c>
      <c r="I483" s="2">
        <v>85950000</v>
      </c>
      <c r="J483" s="2" t="str">
        <f>TEXT(Table1[[#This Row],[Date]],"dddd")</f>
        <v>Monday</v>
      </c>
      <c r="K483" s="2" t="str">
        <f>TEXT(Table1[[#This Row],[Date]],"mmmm")</f>
        <v>March</v>
      </c>
      <c r="L483" s="3" t="str">
        <f>TEXT(Table1[[#This Row],[Date]],"yyyy")</f>
        <v>2014</v>
      </c>
    </row>
    <row r="484" spans="3:12" x14ac:dyDescent="0.3">
      <c r="C484" s="4">
        <v>41730</v>
      </c>
      <c r="D484" s="5">
        <v>16.904499053955</v>
      </c>
      <c r="E484" s="5">
        <v>17.221500396728501</v>
      </c>
      <c r="F484" s="5">
        <v>16.899999618530199</v>
      </c>
      <c r="G484" s="5">
        <v>17.149499893188398</v>
      </c>
      <c r="H484" s="5">
        <v>17.149499893188398</v>
      </c>
      <c r="I484" s="5">
        <v>72002000</v>
      </c>
      <c r="J484" s="2" t="str">
        <f>TEXT(Table1[[#This Row],[Date]],"dddd")</f>
        <v>Tuesday</v>
      </c>
      <c r="K484" s="5" t="str">
        <f>TEXT(Table1[[#This Row],[Date]],"mmmm")</f>
        <v>April</v>
      </c>
      <c r="L484" s="3" t="str">
        <f>TEXT(Table1[[#This Row],[Date]],"yyyy")</f>
        <v>2014</v>
      </c>
    </row>
    <row r="485" spans="3:12" x14ac:dyDescent="0.3">
      <c r="C485" s="1">
        <v>41731</v>
      </c>
      <c r="D485" s="2">
        <v>17.2994995117187</v>
      </c>
      <c r="E485" s="2">
        <v>17.415000915527301</v>
      </c>
      <c r="F485" s="2">
        <v>17.018999099731399</v>
      </c>
      <c r="G485" s="2">
        <v>17.097999572753899</v>
      </c>
      <c r="H485" s="2">
        <v>17.097999572753899</v>
      </c>
      <c r="I485" s="2">
        <v>89510000</v>
      </c>
      <c r="J485" s="2" t="str">
        <f>TEXT(Table1[[#This Row],[Date]],"dddd")</f>
        <v>Wednesday</v>
      </c>
      <c r="K485" s="2" t="str">
        <f>TEXT(Table1[[#This Row],[Date]],"mmmm")</f>
        <v>April</v>
      </c>
      <c r="L485" s="3" t="str">
        <f>TEXT(Table1[[#This Row],[Date]],"yyyy")</f>
        <v>2014</v>
      </c>
    </row>
    <row r="486" spans="3:12" x14ac:dyDescent="0.3">
      <c r="C486" s="4">
        <v>41732</v>
      </c>
      <c r="D486" s="5">
        <v>17.090999603271399</v>
      </c>
      <c r="E486" s="5">
        <v>17.125</v>
      </c>
      <c r="F486" s="5">
        <v>16.423000335693299</v>
      </c>
      <c r="G486" s="5">
        <v>16.6809997558593</v>
      </c>
      <c r="H486" s="5">
        <v>16.6809997558593</v>
      </c>
      <c r="I486" s="5">
        <v>127986000</v>
      </c>
      <c r="J486" s="2" t="str">
        <f>TEXT(Table1[[#This Row],[Date]],"dddd")</f>
        <v>Thursday</v>
      </c>
      <c r="K486" s="5" t="str">
        <f>TEXT(Table1[[#This Row],[Date]],"mmmm")</f>
        <v>April</v>
      </c>
      <c r="L486" s="3" t="str">
        <f>TEXT(Table1[[#This Row],[Date]],"yyyy")</f>
        <v>2014</v>
      </c>
    </row>
    <row r="487" spans="3:12" x14ac:dyDescent="0.3">
      <c r="C487" s="1">
        <v>41733</v>
      </c>
      <c r="D487" s="2">
        <v>16.757499694824201</v>
      </c>
      <c r="E487" s="2">
        <v>16.771999359130799</v>
      </c>
      <c r="F487" s="2">
        <v>15.780500411987299</v>
      </c>
      <c r="G487" s="2">
        <v>16.149999618530199</v>
      </c>
      <c r="H487" s="2">
        <v>16.149999618530199</v>
      </c>
      <c r="I487" s="2">
        <v>250692000</v>
      </c>
      <c r="J487" s="2" t="str">
        <f>TEXT(Table1[[#This Row],[Date]],"dddd")</f>
        <v>Friday</v>
      </c>
      <c r="K487" s="2" t="str">
        <f>TEXT(Table1[[#This Row],[Date]],"mmmm")</f>
        <v>April</v>
      </c>
      <c r="L487" s="3" t="str">
        <f>TEXT(Table1[[#This Row],[Date]],"yyyy")</f>
        <v>2014</v>
      </c>
    </row>
    <row r="488" spans="3:12" x14ac:dyDescent="0.3">
      <c r="C488" s="4">
        <v>41736</v>
      </c>
      <c r="D488" s="5">
        <v>16.0494995117187</v>
      </c>
      <c r="E488" s="5">
        <v>16.246999740600501</v>
      </c>
      <c r="F488" s="5">
        <v>15.656499862670801</v>
      </c>
      <c r="G488" s="5">
        <v>15.8879995346069</v>
      </c>
      <c r="H488" s="5">
        <v>15.8879995346069</v>
      </c>
      <c r="I488" s="5">
        <v>141548000</v>
      </c>
      <c r="J488" s="2" t="str">
        <f>TEXT(Table1[[#This Row],[Date]],"dddd")</f>
        <v>Monday</v>
      </c>
      <c r="K488" s="5" t="str">
        <f>TEXT(Table1[[#This Row],[Date]],"mmmm")</f>
        <v>April</v>
      </c>
      <c r="L488" s="3" t="str">
        <f>TEXT(Table1[[#This Row],[Date]],"yyyy")</f>
        <v>2014</v>
      </c>
    </row>
    <row r="489" spans="3:12" x14ac:dyDescent="0.3">
      <c r="C489" s="1">
        <v>41737</v>
      </c>
      <c r="D489" s="2">
        <v>16.093999862670898</v>
      </c>
      <c r="E489" s="2">
        <v>16.399999618530199</v>
      </c>
      <c r="F489" s="2">
        <v>15.921999931335399</v>
      </c>
      <c r="G489" s="2">
        <v>16.353500366210898</v>
      </c>
      <c r="H489" s="2">
        <v>16.353500366210898</v>
      </c>
      <c r="I489" s="2">
        <v>131552000</v>
      </c>
      <c r="J489" s="2" t="str">
        <f>TEXT(Table1[[#This Row],[Date]],"dddd")</f>
        <v>Tuesday</v>
      </c>
      <c r="K489" s="2" t="str">
        <f>TEXT(Table1[[#This Row],[Date]],"mmmm")</f>
        <v>April</v>
      </c>
      <c r="L489" s="3" t="str">
        <f>TEXT(Table1[[#This Row],[Date]],"yyyy")</f>
        <v>2014</v>
      </c>
    </row>
    <row r="490" spans="3:12" x14ac:dyDescent="0.3">
      <c r="C490" s="4">
        <v>41738</v>
      </c>
      <c r="D490" s="5">
        <v>16.423500061035099</v>
      </c>
      <c r="E490" s="5">
        <v>16.6089992523193</v>
      </c>
      <c r="F490" s="5">
        <v>16.125</v>
      </c>
      <c r="G490" s="5">
        <v>16.590499877929599</v>
      </c>
      <c r="H490" s="5">
        <v>16.590499877929599</v>
      </c>
      <c r="I490" s="5">
        <v>101132000</v>
      </c>
      <c r="J490" s="2" t="str">
        <f>TEXT(Table1[[#This Row],[Date]],"dddd")</f>
        <v>Wednesday</v>
      </c>
      <c r="K490" s="5" t="str">
        <f>TEXT(Table1[[#This Row],[Date]],"mmmm")</f>
        <v>April</v>
      </c>
      <c r="L490" s="3" t="str">
        <f>TEXT(Table1[[#This Row],[Date]],"yyyy")</f>
        <v>2014</v>
      </c>
    </row>
    <row r="491" spans="3:12" x14ac:dyDescent="0.3">
      <c r="C491" s="1">
        <v>41739</v>
      </c>
      <c r="D491" s="2">
        <v>16.530000686645501</v>
      </c>
      <c r="E491" s="2">
        <v>16.549999237060501</v>
      </c>
      <c r="F491" s="2">
        <v>15.824999809265099</v>
      </c>
      <c r="G491" s="2">
        <v>15.855500221252401</v>
      </c>
      <c r="H491" s="2">
        <v>15.855500221252401</v>
      </c>
      <c r="I491" s="2">
        <v>122534000</v>
      </c>
      <c r="J491" s="2" t="str">
        <f>TEXT(Table1[[#This Row],[Date]],"dddd")</f>
        <v>Thursday</v>
      </c>
      <c r="K491" s="2" t="str">
        <f>TEXT(Table1[[#This Row],[Date]],"mmmm")</f>
        <v>April</v>
      </c>
      <c r="L491" s="3" t="str">
        <f>TEXT(Table1[[#This Row],[Date]],"yyyy")</f>
        <v>2014</v>
      </c>
    </row>
    <row r="492" spans="3:12" x14ac:dyDescent="0.3">
      <c r="C492" s="4">
        <v>41740</v>
      </c>
      <c r="D492" s="5">
        <v>15.699999809265099</v>
      </c>
      <c r="E492" s="5">
        <v>15.824999809265099</v>
      </c>
      <c r="F492" s="5">
        <v>15.4750003814697</v>
      </c>
      <c r="G492" s="5">
        <v>15.5865001678466</v>
      </c>
      <c r="H492" s="5">
        <v>15.5865001678466</v>
      </c>
      <c r="I492" s="5">
        <v>145750000</v>
      </c>
      <c r="J492" s="2" t="str">
        <f>TEXT(Table1[[#This Row],[Date]],"dddd")</f>
        <v>Friday</v>
      </c>
      <c r="K492" s="5" t="str">
        <f>TEXT(Table1[[#This Row],[Date]],"mmmm")</f>
        <v>April</v>
      </c>
      <c r="L492" s="3" t="str">
        <f>TEXT(Table1[[#This Row],[Date]],"yyyy")</f>
        <v>2014</v>
      </c>
    </row>
    <row r="493" spans="3:12" x14ac:dyDescent="0.3">
      <c r="C493" s="1">
        <v>41743</v>
      </c>
      <c r="D493" s="2">
        <v>15.8835000991821</v>
      </c>
      <c r="E493" s="2">
        <v>16.024000167846602</v>
      </c>
      <c r="F493" s="2">
        <v>15.5640001296997</v>
      </c>
      <c r="G493" s="2">
        <v>15.7954998016357</v>
      </c>
      <c r="H493" s="2">
        <v>15.7954998016357</v>
      </c>
      <c r="I493" s="2">
        <v>85870000</v>
      </c>
      <c r="J493" s="2" t="str">
        <f>TEXT(Table1[[#This Row],[Date]],"dddd")</f>
        <v>Monday</v>
      </c>
      <c r="K493" s="2" t="str">
        <f>TEXT(Table1[[#This Row],[Date]],"mmmm")</f>
        <v>April</v>
      </c>
      <c r="L493" s="3" t="str">
        <f>TEXT(Table1[[#This Row],[Date]],"yyyy")</f>
        <v>2014</v>
      </c>
    </row>
    <row r="494" spans="3:12" x14ac:dyDescent="0.3">
      <c r="C494" s="4">
        <v>41744</v>
      </c>
      <c r="D494" s="5">
        <v>15.8350000381469</v>
      </c>
      <c r="E494" s="5">
        <v>15.913999557495099</v>
      </c>
      <c r="F494" s="5">
        <v>15.274999618530201</v>
      </c>
      <c r="G494" s="5">
        <v>15.8039999008178</v>
      </c>
      <c r="H494" s="5">
        <v>15.8039999008178</v>
      </c>
      <c r="I494" s="5">
        <v>107972000</v>
      </c>
      <c r="J494" s="2" t="str">
        <f>TEXT(Table1[[#This Row],[Date]],"dddd")</f>
        <v>Tuesday</v>
      </c>
      <c r="K494" s="5" t="str">
        <f>TEXT(Table1[[#This Row],[Date]],"mmmm")</f>
        <v>April</v>
      </c>
      <c r="L494" s="3" t="str">
        <f>TEXT(Table1[[#This Row],[Date]],"yyyy")</f>
        <v>2014</v>
      </c>
    </row>
    <row r="495" spans="3:12" x14ac:dyDescent="0.3">
      <c r="C495" s="1">
        <v>41745</v>
      </c>
      <c r="D495" s="2">
        <v>16.0585002899169</v>
      </c>
      <c r="E495" s="2">
        <v>16.2000007629394</v>
      </c>
      <c r="F495" s="2">
        <v>15.735500335693301</v>
      </c>
      <c r="G495" s="2">
        <v>16.1840000152587</v>
      </c>
      <c r="H495" s="2">
        <v>16.1840000152587</v>
      </c>
      <c r="I495" s="2">
        <v>85698000</v>
      </c>
      <c r="J495" s="2" t="str">
        <f>TEXT(Table1[[#This Row],[Date]],"dddd")</f>
        <v>Wednesday</v>
      </c>
      <c r="K495" s="2" t="str">
        <f>TEXT(Table1[[#This Row],[Date]],"mmmm")</f>
        <v>April</v>
      </c>
      <c r="L495" s="3" t="str">
        <f>TEXT(Table1[[#This Row],[Date]],"yyyy")</f>
        <v>2014</v>
      </c>
    </row>
    <row r="496" spans="3:12" x14ac:dyDescent="0.3">
      <c r="C496" s="4">
        <v>41746</v>
      </c>
      <c r="D496" s="5">
        <v>15.9879999160766</v>
      </c>
      <c r="E496" s="5">
        <v>16.433000564575099</v>
      </c>
      <c r="F496" s="5">
        <v>15.9879999160766</v>
      </c>
      <c r="G496" s="5">
        <v>16.245500564575099</v>
      </c>
      <c r="H496" s="5">
        <v>16.245500564575099</v>
      </c>
      <c r="I496" s="5">
        <v>85984000</v>
      </c>
      <c r="J496" s="2" t="str">
        <f>TEXT(Table1[[#This Row],[Date]],"dddd")</f>
        <v>Thursday</v>
      </c>
      <c r="K496" s="5" t="str">
        <f>TEXT(Table1[[#This Row],[Date]],"mmmm")</f>
        <v>April</v>
      </c>
      <c r="L496" s="3" t="str">
        <f>TEXT(Table1[[#This Row],[Date]],"yyyy")</f>
        <v>2014</v>
      </c>
    </row>
    <row r="497" spans="3:12" x14ac:dyDescent="0.3">
      <c r="C497" s="1">
        <v>41750</v>
      </c>
      <c r="D497" s="2">
        <v>16.198499679565401</v>
      </c>
      <c r="E497" s="2">
        <v>16.557500839233398</v>
      </c>
      <c r="F497" s="2">
        <v>16.115499496459901</v>
      </c>
      <c r="G497" s="2">
        <v>16.543500900268501</v>
      </c>
      <c r="H497" s="2">
        <v>16.543500900268501</v>
      </c>
      <c r="I497" s="2">
        <v>59988000</v>
      </c>
      <c r="J497" s="2" t="str">
        <f>TEXT(Table1[[#This Row],[Date]],"dddd")</f>
        <v>Monday</v>
      </c>
      <c r="K497" s="2" t="str">
        <f>TEXT(Table1[[#This Row],[Date]],"mmmm")</f>
        <v>April</v>
      </c>
      <c r="L497" s="3" t="str">
        <f>TEXT(Table1[[#This Row],[Date]],"yyyy")</f>
        <v>2014</v>
      </c>
    </row>
    <row r="498" spans="3:12" x14ac:dyDescent="0.3">
      <c r="C498" s="4">
        <v>41751</v>
      </c>
      <c r="D498" s="5">
        <v>16.600000381469702</v>
      </c>
      <c r="E498" s="5">
        <v>16.875</v>
      </c>
      <c r="F498" s="5">
        <v>16.44700050354</v>
      </c>
      <c r="G498" s="5">
        <v>16.465999603271399</v>
      </c>
      <c r="H498" s="5">
        <v>16.465999603271399</v>
      </c>
      <c r="I498" s="5">
        <v>74232000</v>
      </c>
      <c r="J498" s="2" t="str">
        <f>TEXT(Table1[[#This Row],[Date]],"dddd")</f>
        <v>Tuesday</v>
      </c>
      <c r="K498" s="5" t="str">
        <f>TEXT(Table1[[#This Row],[Date]],"mmmm")</f>
        <v>April</v>
      </c>
      <c r="L498" s="3" t="str">
        <f>TEXT(Table1[[#This Row],[Date]],"yyyy")</f>
        <v>2014</v>
      </c>
    </row>
    <row r="499" spans="3:12" x14ac:dyDescent="0.3">
      <c r="C499" s="1">
        <v>41752</v>
      </c>
      <c r="D499" s="2">
        <v>16.652999877929599</v>
      </c>
      <c r="E499" s="2">
        <v>16.656499862670898</v>
      </c>
      <c r="F499" s="2">
        <v>16.169500350952099</v>
      </c>
      <c r="G499" s="2">
        <v>16.229000091552699</v>
      </c>
      <c r="H499" s="2">
        <v>16.229000091552699</v>
      </c>
      <c r="I499" s="2">
        <v>72092000</v>
      </c>
      <c r="J499" s="2" t="str">
        <f>TEXT(Table1[[#This Row],[Date]],"dddd")</f>
        <v>Wednesday</v>
      </c>
      <c r="K499" s="2" t="str">
        <f>TEXT(Table1[[#This Row],[Date]],"mmmm")</f>
        <v>April</v>
      </c>
      <c r="L499" s="3" t="str">
        <f>TEXT(Table1[[#This Row],[Date]],"yyyy")</f>
        <v>2014</v>
      </c>
    </row>
    <row r="500" spans="3:12" x14ac:dyDescent="0.3">
      <c r="C500" s="4">
        <v>41753</v>
      </c>
      <c r="D500" s="5">
        <v>16.4834995269775</v>
      </c>
      <c r="E500" s="5">
        <v>16.870000839233398</v>
      </c>
      <c r="F500" s="5">
        <v>16.147499084472599</v>
      </c>
      <c r="G500" s="5">
        <v>16.857500076293899</v>
      </c>
      <c r="H500" s="5">
        <v>16.857500076293899</v>
      </c>
      <c r="I500" s="5">
        <v>185874000</v>
      </c>
      <c r="J500" s="2" t="str">
        <f>TEXT(Table1[[#This Row],[Date]],"dddd")</f>
        <v>Thursday</v>
      </c>
      <c r="K500" s="5" t="str">
        <f>TEXT(Table1[[#This Row],[Date]],"mmmm")</f>
        <v>April</v>
      </c>
      <c r="L500" s="3" t="str">
        <f>TEXT(Table1[[#This Row],[Date]],"yyyy")</f>
        <v>2014</v>
      </c>
    </row>
    <row r="501" spans="3:12" x14ac:dyDescent="0.3">
      <c r="C501" s="1">
        <v>41754</v>
      </c>
      <c r="D501" s="2">
        <v>15.8125</v>
      </c>
      <c r="E501" s="2">
        <v>15.824500083923301</v>
      </c>
      <c r="F501" s="2">
        <v>15.135499954223601</v>
      </c>
      <c r="G501" s="2">
        <v>15.191499710083001</v>
      </c>
      <c r="H501" s="2">
        <v>15.191499710083001</v>
      </c>
      <c r="I501" s="2">
        <v>323604000</v>
      </c>
      <c r="J501" s="2" t="str">
        <f>TEXT(Table1[[#This Row],[Date]],"dddd")</f>
        <v>Friday</v>
      </c>
      <c r="K501" s="2" t="str">
        <f>TEXT(Table1[[#This Row],[Date]],"mmmm")</f>
        <v>April</v>
      </c>
      <c r="L501" s="3" t="str">
        <f>TEXT(Table1[[#This Row],[Date]],"yyyy")</f>
        <v>2014</v>
      </c>
    </row>
    <row r="502" spans="3:12" x14ac:dyDescent="0.3">
      <c r="C502" s="4">
        <v>41757</v>
      </c>
      <c r="D502" s="5">
        <v>15.199999809265099</v>
      </c>
      <c r="E502" s="5">
        <v>15.219499588012599</v>
      </c>
      <c r="F502" s="5">
        <v>14.399999618530201</v>
      </c>
      <c r="G502" s="5">
        <v>14.829000473022401</v>
      </c>
      <c r="H502" s="5">
        <v>14.829000473022401</v>
      </c>
      <c r="I502" s="5">
        <v>289596000</v>
      </c>
      <c r="J502" s="2" t="str">
        <f>TEXT(Table1[[#This Row],[Date]],"dddd")</f>
        <v>Monday</v>
      </c>
      <c r="K502" s="5" t="str">
        <f>TEXT(Table1[[#This Row],[Date]],"mmmm")</f>
        <v>April</v>
      </c>
      <c r="L502" s="3" t="str">
        <f>TEXT(Table1[[#This Row],[Date]],"yyyy")</f>
        <v>2014</v>
      </c>
    </row>
    <row r="503" spans="3:12" x14ac:dyDescent="0.3">
      <c r="C503" s="1">
        <v>41758</v>
      </c>
      <c r="D503" s="2">
        <v>14.8219995498657</v>
      </c>
      <c r="E503" s="2">
        <v>15.0920000076293</v>
      </c>
      <c r="F503" s="2">
        <v>14.5225000381469</v>
      </c>
      <c r="G503" s="2">
        <v>15.0190000534057</v>
      </c>
      <c r="H503" s="2">
        <v>15.0190000534057</v>
      </c>
      <c r="I503" s="2">
        <v>130186000</v>
      </c>
      <c r="J503" s="2" t="str">
        <f>TEXT(Table1[[#This Row],[Date]],"dddd")</f>
        <v>Tuesday</v>
      </c>
      <c r="K503" s="2" t="str">
        <f>TEXT(Table1[[#This Row],[Date]],"mmmm")</f>
        <v>April</v>
      </c>
      <c r="L503" s="3" t="str">
        <f>TEXT(Table1[[#This Row],[Date]],"yyyy")</f>
        <v>2014</v>
      </c>
    </row>
    <row r="504" spans="3:12" x14ac:dyDescent="0.3">
      <c r="C504" s="4">
        <v>41759</v>
      </c>
      <c r="D504" s="5">
        <v>14.904999732971101</v>
      </c>
      <c r="E504" s="5">
        <v>15.227999687194799</v>
      </c>
      <c r="F504" s="5">
        <v>14.904999732971101</v>
      </c>
      <c r="G504" s="5">
        <v>15.2065000534057</v>
      </c>
      <c r="H504" s="5">
        <v>15.2065000534057</v>
      </c>
      <c r="I504" s="5">
        <v>81772000</v>
      </c>
      <c r="J504" s="2" t="str">
        <f>TEXT(Table1[[#This Row],[Date]],"dddd")</f>
        <v>Wednesday</v>
      </c>
      <c r="K504" s="5" t="str">
        <f>TEXT(Table1[[#This Row],[Date]],"mmmm")</f>
        <v>April</v>
      </c>
      <c r="L504" s="3" t="str">
        <f>TEXT(Table1[[#This Row],[Date]],"yyyy")</f>
        <v>2014</v>
      </c>
    </row>
    <row r="505" spans="3:12" x14ac:dyDescent="0.3">
      <c r="C505" s="1">
        <v>41760</v>
      </c>
      <c r="D505" s="2">
        <v>15.2065000534057</v>
      </c>
      <c r="E505" s="2">
        <v>15.5240001678466</v>
      </c>
      <c r="F505" s="2">
        <v>15.199999809265099</v>
      </c>
      <c r="G505" s="2">
        <v>15.3944997787475</v>
      </c>
      <c r="H505" s="2">
        <v>15.3944997787475</v>
      </c>
      <c r="I505" s="2">
        <v>86572000</v>
      </c>
      <c r="J505" s="2" t="str">
        <f>TEXT(Table1[[#This Row],[Date]],"dddd")</f>
        <v>Thursday</v>
      </c>
      <c r="K505" s="2" t="str">
        <f>TEXT(Table1[[#This Row],[Date]],"mmmm")</f>
        <v>May</v>
      </c>
      <c r="L505" s="3" t="str">
        <f>TEXT(Table1[[#This Row],[Date]],"yyyy")</f>
        <v>2014</v>
      </c>
    </row>
    <row r="506" spans="3:12" x14ac:dyDescent="0.3">
      <c r="C506" s="4">
        <v>41761</v>
      </c>
      <c r="D506" s="5">
        <v>15.5209999084472</v>
      </c>
      <c r="E506" s="5">
        <v>15.6645002365112</v>
      </c>
      <c r="F506" s="5">
        <v>15.2154998779296</v>
      </c>
      <c r="G506" s="5">
        <v>15.4005002975463</v>
      </c>
      <c r="H506" s="5">
        <v>15.4005002975463</v>
      </c>
      <c r="I506" s="5">
        <v>79902000</v>
      </c>
      <c r="J506" s="2" t="str">
        <f>TEXT(Table1[[#This Row],[Date]],"dddd")</f>
        <v>Friday</v>
      </c>
      <c r="K506" s="5" t="str">
        <f>TEXT(Table1[[#This Row],[Date]],"mmmm")</f>
        <v>May</v>
      </c>
      <c r="L506" s="3" t="str">
        <f>TEXT(Table1[[#This Row],[Date]],"yyyy")</f>
        <v>2014</v>
      </c>
    </row>
    <row r="507" spans="3:12" x14ac:dyDescent="0.3">
      <c r="C507" s="1">
        <v>41764</v>
      </c>
      <c r="D507" s="2">
        <v>15.318499565124499</v>
      </c>
      <c r="E507" s="2">
        <v>15.5115003585815</v>
      </c>
      <c r="F507" s="2">
        <v>15.25</v>
      </c>
      <c r="G507" s="2">
        <v>15.502499580383301</v>
      </c>
      <c r="H507" s="2">
        <v>15.502499580383301</v>
      </c>
      <c r="I507" s="2">
        <v>50398000</v>
      </c>
      <c r="J507" s="2" t="str">
        <f>TEXT(Table1[[#This Row],[Date]],"dddd")</f>
        <v>Monday</v>
      </c>
      <c r="K507" s="2" t="str">
        <f>TEXT(Table1[[#This Row],[Date]],"mmmm")</f>
        <v>May</v>
      </c>
      <c r="L507" s="3" t="str">
        <f>TEXT(Table1[[#This Row],[Date]],"yyyy")</f>
        <v>2014</v>
      </c>
    </row>
    <row r="508" spans="3:12" x14ac:dyDescent="0.3">
      <c r="C508" s="4">
        <v>41765</v>
      </c>
      <c r="D508" s="5">
        <v>15.476499557495099</v>
      </c>
      <c r="E508" s="5">
        <v>15.490500450134199</v>
      </c>
      <c r="F508" s="5">
        <v>14.8520002365112</v>
      </c>
      <c r="G508" s="5">
        <v>14.869000434875399</v>
      </c>
      <c r="H508" s="5">
        <v>14.869000434875399</v>
      </c>
      <c r="I508" s="5">
        <v>93646000</v>
      </c>
      <c r="J508" s="2" t="str">
        <f>TEXT(Table1[[#This Row],[Date]],"dddd")</f>
        <v>Tuesday</v>
      </c>
      <c r="K508" s="5" t="str">
        <f>TEXT(Table1[[#This Row],[Date]],"mmmm")</f>
        <v>May</v>
      </c>
      <c r="L508" s="3" t="str">
        <f>TEXT(Table1[[#This Row],[Date]],"yyyy")</f>
        <v>2014</v>
      </c>
    </row>
    <row r="509" spans="3:12" x14ac:dyDescent="0.3">
      <c r="C509" s="1">
        <v>41766</v>
      </c>
      <c r="D509" s="2">
        <v>14.7779998779296</v>
      </c>
      <c r="E509" s="2">
        <v>14.819999694824199</v>
      </c>
      <c r="F509" s="2">
        <v>14.333999633789</v>
      </c>
      <c r="G509" s="2">
        <v>14.635499954223601</v>
      </c>
      <c r="H509" s="2">
        <v>14.635499954223601</v>
      </c>
      <c r="I509" s="2">
        <v>140304000</v>
      </c>
      <c r="J509" s="2" t="str">
        <f>TEXT(Table1[[#This Row],[Date]],"dddd")</f>
        <v>Wednesday</v>
      </c>
      <c r="K509" s="2" t="str">
        <f>TEXT(Table1[[#This Row],[Date]],"mmmm")</f>
        <v>May</v>
      </c>
      <c r="L509" s="3" t="str">
        <f>TEXT(Table1[[#This Row],[Date]],"yyyy")</f>
        <v>2014</v>
      </c>
    </row>
    <row r="510" spans="3:12" x14ac:dyDescent="0.3">
      <c r="C510" s="4">
        <v>41767</v>
      </c>
      <c r="D510" s="5">
        <v>14.5410003662109</v>
      </c>
      <c r="E510" s="5">
        <v>14.793999671936</v>
      </c>
      <c r="F510" s="5">
        <v>14.3614997863769</v>
      </c>
      <c r="G510" s="5">
        <v>14.4160003662109</v>
      </c>
      <c r="H510" s="5">
        <v>14.4160003662109</v>
      </c>
      <c r="I510" s="5">
        <v>76964000</v>
      </c>
      <c r="J510" s="2" t="str">
        <f>TEXT(Table1[[#This Row],[Date]],"dddd")</f>
        <v>Thursday</v>
      </c>
      <c r="K510" s="5" t="str">
        <f>TEXT(Table1[[#This Row],[Date]],"mmmm")</f>
        <v>May</v>
      </c>
      <c r="L510" s="3" t="str">
        <f>TEXT(Table1[[#This Row],[Date]],"yyyy")</f>
        <v>2014</v>
      </c>
    </row>
    <row r="511" spans="3:12" x14ac:dyDescent="0.3">
      <c r="C511" s="1">
        <v>41768</v>
      </c>
      <c r="D511" s="2">
        <v>14.528499603271401</v>
      </c>
      <c r="E511" s="2">
        <v>14.6840000152587</v>
      </c>
      <c r="F511" s="2">
        <v>14.218999862670801</v>
      </c>
      <c r="G511" s="2">
        <v>14.612000465393001</v>
      </c>
      <c r="H511" s="2">
        <v>14.612000465393001</v>
      </c>
      <c r="I511" s="2">
        <v>81260000</v>
      </c>
      <c r="J511" s="2" t="str">
        <f>TEXT(Table1[[#This Row],[Date]],"dddd")</f>
        <v>Friday</v>
      </c>
      <c r="K511" s="2" t="str">
        <f>TEXT(Table1[[#This Row],[Date]],"mmmm")</f>
        <v>May</v>
      </c>
      <c r="L511" s="3" t="str">
        <f>TEXT(Table1[[#This Row],[Date]],"yyyy")</f>
        <v>2014</v>
      </c>
    </row>
    <row r="512" spans="3:12" x14ac:dyDescent="0.3">
      <c r="C512" s="4">
        <v>41771</v>
      </c>
      <c r="D512" s="5">
        <v>14.7150001525878</v>
      </c>
      <c r="E512" s="5">
        <v>15.166999816894499</v>
      </c>
      <c r="F512" s="5">
        <v>14.708000183105399</v>
      </c>
      <c r="G512" s="5">
        <v>15.1429996490478</v>
      </c>
      <c r="H512" s="5">
        <v>15.1429996490478</v>
      </c>
      <c r="I512" s="5">
        <v>74592000</v>
      </c>
      <c r="J512" s="2" t="str">
        <f>TEXT(Table1[[#This Row],[Date]],"dddd")</f>
        <v>Monday</v>
      </c>
      <c r="K512" s="5" t="str">
        <f>TEXT(Table1[[#This Row],[Date]],"mmmm")</f>
        <v>May</v>
      </c>
      <c r="L512" s="3" t="str">
        <f>TEXT(Table1[[#This Row],[Date]],"yyyy")</f>
        <v>2014</v>
      </c>
    </row>
    <row r="513" spans="3:12" x14ac:dyDescent="0.3">
      <c r="C513" s="1">
        <v>41772</v>
      </c>
      <c r="D513" s="2">
        <v>15.1300001144409</v>
      </c>
      <c r="E513" s="2">
        <v>15.279999732971101</v>
      </c>
      <c r="F513" s="2">
        <v>15.0375003814697</v>
      </c>
      <c r="G513" s="2">
        <v>15.2320003509521</v>
      </c>
      <c r="H513" s="2">
        <v>15.2320003509521</v>
      </c>
      <c r="I513" s="2">
        <v>70198000</v>
      </c>
      <c r="J513" s="2" t="str">
        <f>TEXT(Table1[[#This Row],[Date]],"dddd")</f>
        <v>Tuesday</v>
      </c>
      <c r="K513" s="2" t="str">
        <f>TEXT(Table1[[#This Row],[Date]],"mmmm")</f>
        <v>May</v>
      </c>
      <c r="L513" s="3" t="str">
        <f>TEXT(Table1[[#This Row],[Date]],"yyyy")</f>
        <v>2014</v>
      </c>
    </row>
    <row r="514" spans="3:12" x14ac:dyDescent="0.3">
      <c r="C514" s="4">
        <v>41773</v>
      </c>
      <c r="D514" s="5">
        <v>15.125</v>
      </c>
      <c r="E514" s="5">
        <v>15.2320003509521</v>
      </c>
      <c r="F514" s="5">
        <v>14.833000183105399</v>
      </c>
      <c r="G514" s="5">
        <v>14.880999565124499</v>
      </c>
      <c r="H514" s="5">
        <v>14.880999565124499</v>
      </c>
      <c r="I514" s="5">
        <v>66466000</v>
      </c>
      <c r="J514" s="2" t="str">
        <f>TEXT(Table1[[#This Row],[Date]],"dddd")</f>
        <v>Wednesday</v>
      </c>
      <c r="K514" s="5" t="str">
        <f>TEXT(Table1[[#This Row],[Date]],"mmmm")</f>
        <v>May</v>
      </c>
      <c r="L514" s="3" t="str">
        <f>TEXT(Table1[[#This Row],[Date]],"yyyy")</f>
        <v>2014</v>
      </c>
    </row>
    <row r="515" spans="3:12" x14ac:dyDescent="0.3">
      <c r="C515" s="1">
        <v>41774</v>
      </c>
      <c r="D515" s="2">
        <v>14.9010000228881</v>
      </c>
      <c r="E515" s="2">
        <v>14.9600000381469</v>
      </c>
      <c r="F515" s="2">
        <v>14.5190000534057</v>
      </c>
      <c r="G515" s="2">
        <v>14.7594995498657</v>
      </c>
      <c r="H515" s="2">
        <v>14.7594995498657</v>
      </c>
      <c r="I515" s="2">
        <v>85902000</v>
      </c>
      <c r="J515" s="2" t="str">
        <f>TEXT(Table1[[#This Row],[Date]],"dddd")</f>
        <v>Thursday</v>
      </c>
      <c r="K515" s="2" t="str">
        <f>TEXT(Table1[[#This Row],[Date]],"mmmm")</f>
        <v>May</v>
      </c>
      <c r="L515" s="3" t="str">
        <f>TEXT(Table1[[#This Row],[Date]],"yyyy")</f>
        <v>2014</v>
      </c>
    </row>
    <row r="516" spans="3:12" x14ac:dyDescent="0.3">
      <c r="C516" s="4">
        <v>41775</v>
      </c>
      <c r="D516" s="5">
        <v>14.640000343322701</v>
      </c>
      <c r="E516" s="5">
        <v>14.9440002441406</v>
      </c>
      <c r="F516" s="5">
        <v>14.577500343322701</v>
      </c>
      <c r="G516" s="5">
        <v>14.8850002288818</v>
      </c>
      <c r="H516" s="5">
        <v>14.8850002288818</v>
      </c>
      <c r="I516" s="5">
        <v>72736000</v>
      </c>
      <c r="J516" s="2" t="str">
        <f>TEXT(Table1[[#This Row],[Date]],"dddd")</f>
        <v>Friday</v>
      </c>
      <c r="K516" s="5" t="str">
        <f>TEXT(Table1[[#This Row],[Date]],"mmmm")</f>
        <v>May</v>
      </c>
      <c r="L516" s="3" t="str">
        <f>TEXT(Table1[[#This Row],[Date]],"yyyy")</f>
        <v>2014</v>
      </c>
    </row>
    <row r="517" spans="3:12" x14ac:dyDescent="0.3">
      <c r="C517" s="1">
        <v>41778</v>
      </c>
      <c r="D517" s="2">
        <v>14.7880001068115</v>
      </c>
      <c r="E517" s="2">
        <v>14.949999809265099</v>
      </c>
      <c r="F517" s="2">
        <v>14.6905002593994</v>
      </c>
      <c r="G517" s="2">
        <v>14.8380002975463</v>
      </c>
      <c r="H517" s="2">
        <v>14.8380002975463</v>
      </c>
      <c r="I517" s="2">
        <v>45684000</v>
      </c>
      <c r="J517" s="2" t="str">
        <f>TEXT(Table1[[#This Row],[Date]],"dddd")</f>
        <v>Monday</v>
      </c>
      <c r="K517" s="2" t="str">
        <f>TEXT(Table1[[#This Row],[Date]],"mmmm")</f>
        <v>May</v>
      </c>
      <c r="L517" s="3" t="str">
        <f>TEXT(Table1[[#This Row],[Date]],"yyyy")</f>
        <v>2014</v>
      </c>
    </row>
    <row r="518" spans="3:12" x14ac:dyDescent="0.3">
      <c r="C518" s="4">
        <v>41779</v>
      </c>
      <c r="D518" s="5">
        <v>14.8549995422363</v>
      </c>
      <c r="E518" s="5">
        <v>15.222999572753899</v>
      </c>
      <c r="F518" s="5">
        <v>14.837499618530201</v>
      </c>
      <c r="G518" s="5">
        <v>15.059499740600501</v>
      </c>
      <c r="H518" s="5">
        <v>15.059499740600501</v>
      </c>
      <c r="I518" s="5">
        <v>81914000</v>
      </c>
      <c r="J518" s="2" t="str">
        <f>TEXT(Table1[[#This Row],[Date]],"dddd")</f>
        <v>Tuesday</v>
      </c>
      <c r="K518" s="5" t="str">
        <f>TEXT(Table1[[#This Row],[Date]],"mmmm")</f>
        <v>May</v>
      </c>
      <c r="L518" s="3" t="str">
        <f>TEXT(Table1[[#This Row],[Date]],"yyyy")</f>
        <v>2014</v>
      </c>
    </row>
    <row r="519" spans="3:12" x14ac:dyDescent="0.3">
      <c r="C519" s="1">
        <v>41780</v>
      </c>
      <c r="D519" s="2">
        <v>15.110500335693301</v>
      </c>
      <c r="E519" s="2">
        <v>15.298000335693301</v>
      </c>
      <c r="F519" s="2">
        <v>15.076000213623001</v>
      </c>
      <c r="G519" s="2">
        <v>15.250499725341699</v>
      </c>
      <c r="H519" s="2">
        <v>15.250499725341699</v>
      </c>
      <c r="I519" s="2">
        <v>68176000</v>
      </c>
      <c r="J519" s="2" t="str">
        <f>TEXT(Table1[[#This Row],[Date]],"dddd")</f>
        <v>Wednesday</v>
      </c>
      <c r="K519" s="2" t="str">
        <f>TEXT(Table1[[#This Row],[Date]],"mmmm")</f>
        <v>May</v>
      </c>
      <c r="L519" s="3" t="str">
        <f>TEXT(Table1[[#This Row],[Date]],"yyyy")</f>
        <v>2014</v>
      </c>
    </row>
    <row r="520" spans="3:12" x14ac:dyDescent="0.3">
      <c r="C520" s="4">
        <v>41781</v>
      </c>
      <c r="D520" s="5">
        <v>15.252499580383301</v>
      </c>
      <c r="E520" s="5">
        <v>15.4270000457763</v>
      </c>
      <c r="F520" s="5">
        <v>15.1505002975463</v>
      </c>
      <c r="G520" s="5">
        <v>15.245499610900801</v>
      </c>
      <c r="H520" s="5">
        <v>15.245499610900801</v>
      </c>
      <c r="I520" s="5">
        <v>51536000</v>
      </c>
      <c r="J520" s="2" t="str">
        <f>TEXT(Table1[[#This Row],[Date]],"dddd")</f>
        <v>Thursday</v>
      </c>
      <c r="K520" s="5" t="str">
        <f>TEXT(Table1[[#This Row],[Date]],"mmmm")</f>
        <v>May</v>
      </c>
      <c r="L520" s="3" t="str">
        <f>TEXT(Table1[[#This Row],[Date]],"yyyy")</f>
        <v>2014</v>
      </c>
    </row>
    <row r="521" spans="3:12" x14ac:dyDescent="0.3">
      <c r="C521" s="1">
        <v>41782</v>
      </c>
      <c r="D521" s="2">
        <v>15.2729997634887</v>
      </c>
      <c r="E521" s="2">
        <v>15.6175003051757</v>
      </c>
      <c r="F521" s="2">
        <v>15.244999885559</v>
      </c>
      <c r="G521" s="2">
        <v>15.612000465393001</v>
      </c>
      <c r="H521" s="2">
        <v>15.612000465393001</v>
      </c>
      <c r="I521" s="2">
        <v>61058000</v>
      </c>
      <c r="J521" s="2" t="str">
        <f>TEXT(Table1[[#This Row],[Date]],"dddd")</f>
        <v>Friday</v>
      </c>
      <c r="K521" s="2" t="str">
        <f>TEXT(Table1[[#This Row],[Date]],"mmmm")</f>
        <v>May</v>
      </c>
      <c r="L521" s="3" t="str">
        <f>TEXT(Table1[[#This Row],[Date]],"yyyy")</f>
        <v>2014</v>
      </c>
    </row>
    <row r="522" spans="3:12" x14ac:dyDescent="0.3">
      <c r="C522" s="4">
        <v>41786</v>
      </c>
      <c r="D522" s="5">
        <v>15.7204999923706</v>
      </c>
      <c r="E522" s="5">
        <v>15.731499671936</v>
      </c>
      <c r="F522" s="5">
        <v>15.369000434875399</v>
      </c>
      <c r="G522" s="5">
        <v>15.5410003662109</v>
      </c>
      <c r="H522" s="5">
        <v>15.5410003662109</v>
      </c>
      <c r="I522" s="5">
        <v>97242000</v>
      </c>
      <c r="J522" s="2" t="str">
        <f>TEXT(Table1[[#This Row],[Date]],"dddd")</f>
        <v>Tuesday</v>
      </c>
      <c r="K522" s="5" t="str">
        <f>TEXT(Table1[[#This Row],[Date]],"mmmm")</f>
        <v>May</v>
      </c>
      <c r="L522" s="3" t="str">
        <f>TEXT(Table1[[#This Row],[Date]],"yyyy")</f>
        <v>2014</v>
      </c>
    </row>
    <row r="523" spans="3:12" x14ac:dyDescent="0.3">
      <c r="C523" s="1">
        <v>41787</v>
      </c>
      <c r="D523" s="2">
        <v>15.4750003814697</v>
      </c>
      <c r="E523" s="2">
        <v>15.6909999847412</v>
      </c>
      <c r="F523" s="2">
        <v>15.3710002899169</v>
      </c>
      <c r="G523" s="2">
        <v>15.5080003738403</v>
      </c>
      <c r="H523" s="2">
        <v>15.5080003738403</v>
      </c>
      <c r="I523" s="2">
        <v>54520000</v>
      </c>
      <c r="J523" s="2" t="str">
        <f>TEXT(Table1[[#This Row],[Date]],"dddd")</f>
        <v>Wednesday</v>
      </c>
      <c r="K523" s="2" t="str">
        <f>TEXT(Table1[[#This Row],[Date]],"mmmm")</f>
        <v>May</v>
      </c>
      <c r="L523" s="3" t="str">
        <f>TEXT(Table1[[#This Row],[Date]],"yyyy")</f>
        <v>2014</v>
      </c>
    </row>
    <row r="524" spans="3:12" x14ac:dyDescent="0.3">
      <c r="C524" s="4">
        <v>41788</v>
      </c>
      <c r="D524" s="5">
        <v>15.5209999084472</v>
      </c>
      <c r="E524" s="5">
        <v>15.7434997558593</v>
      </c>
      <c r="F524" s="5">
        <v>15.5100002288818</v>
      </c>
      <c r="G524" s="5">
        <v>15.6890001296997</v>
      </c>
      <c r="H524" s="5">
        <v>15.6890001296997</v>
      </c>
      <c r="I524" s="5">
        <v>47310000</v>
      </c>
      <c r="J524" s="2" t="str">
        <f>TEXT(Table1[[#This Row],[Date]],"dddd")</f>
        <v>Thursday</v>
      </c>
      <c r="K524" s="5" t="str">
        <f>TEXT(Table1[[#This Row],[Date]],"mmmm")</f>
        <v>May</v>
      </c>
      <c r="L524" s="3" t="str">
        <f>TEXT(Table1[[#This Row],[Date]],"yyyy")</f>
        <v>2014</v>
      </c>
    </row>
    <row r="525" spans="3:12" x14ac:dyDescent="0.3">
      <c r="C525" s="6">
        <v>41789</v>
      </c>
      <c r="D525" s="7">
        <v>15.7215003967285</v>
      </c>
      <c r="E525" s="7">
        <v>15.732500076293899</v>
      </c>
      <c r="F525" s="7">
        <v>15.3784999847412</v>
      </c>
      <c r="G525" s="7">
        <v>15.627499580383301</v>
      </c>
      <c r="H525" s="7">
        <v>15.627499580383301</v>
      </c>
      <c r="I525" s="7">
        <v>85204000</v>
      </c>
      <c r="J525" s="2" t="str">
        <f>TEXT(Table1[[#This Row],[Date]],"dddd")</f>
        <v>Friday</v>
      </c>
      <c r="K525" s="7" t="str">
        <f>TEXT(Table1[[#This Row],[Date]],"mmmm")</f>
        <v>May</v>
      </c>
      <c r="L525" s="3" t="str">
        <f>TEXT(Table1[[#This Row],[Date]],"yyyy")</f>
        <v>2014</v>
      </c>
    </row>
    <row r="526" spans="3:12" x14ac:dyDescent="0.3">
      <c r="C526" s="6"/>
      <c r="D526" s="7"/>
      <c r="E526" s="7"/>
      <c r="F526" s="7"/>
      <c r="G526" s="7"/>
      <c r="H526" s="7"/>
      <c r="I526" s="7"/>
      <c r="J526" s="7"/>
      <c r="K526" s="7"/>
      <c r="L526" s="12"/>
    </row>
    <row r="527" spans="3:12" x14ac:dyDescent="0.3">
      <c r="C527" s="1"/>
      <c r="D527" s="2"/>
      <c r="E527" s="2"/>
      <c r="F527" s="2"/>
      <c r="G527" s="2"/>
      <c r="H527" s="2"/>
      <c r="I527" s="2"/>
      <c r="J527" s="2"/>
      <c r="K527" s="2"/>
      <c r="L527" s="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Madhura Sawant</dc:creator>
  <cp:lastModifiedBy>Madhura Sawant</cp:lastModifiedBy>
  <dcterms:created xsi:type="dcterms:W3CDTF">2026-10-07T11:43:48Z</dcterms:created>
  <dcterms:modified xsi:type="dcterms:W3CDTF">2026-10-09T04:27:22Z</dcterms:modified>
</cp:coreProperties>
</file>